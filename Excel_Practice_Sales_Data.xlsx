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13_ncr:1_{59F37A9D-8D90-45CE-9BB2-03742683E569}" xr6:coauthVersionLast="47" xr6:coauthVersionMax="47" xr10:uidLastSave="{00000000-0000-0000-0000-000000000000}"/>
  <bookViews>
    <workbookView xWindow="0" yWindow="1650" windowWidth="23040" windowHeight="9075" activeTab="1" xr2:uid="{00000000-000D-0000-FFFF-FFFF00000000}"/>
  </bookViews>
  <sheets>
    <sheet name="Sales_Data" sheetId="1" r:id="rId1"/>
    <sheet name="Total Sales" sheetId="6" r:id="rId2"/>
    <sheet name="Month Wise Sales" sheetId="7" r:id="rId3"/>
  </sheets>
  <externalReferences>
    <externalReference r:id="rId4"/>
  </externalReferences>
  <definedNames>
    <definedName name="_xlchart.v5.0" hidden="1">'Month Wise Sales'!$A$15</definedName>
    <definedName name="_xlchart.v5.1" hidden="1">'Month Wise Sales'!$A$16:$A$20</definedName>
    <definedName name="_xlchart.v5.2" hidden="1">'Month Wise Sales'!$B$15</definedName>
    <definedName name="_xlchart.v5.3" hidden="1">'Month Wise Sales'!$B$16:$B$20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7" l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S48" i="1"/>
  <c r="S44" i="1"/>
  <c r="S13" i="1"/>
  <c r="S69" i="1"/>
  <c r="S66" i="1"/>
  <c r="S16" i="1"/>
  <c r="S10" i="1"/>
  <c r="S74" i="1"/>
  <c r="S86" i="1"/>
  <c r="S56" i="1"/>
  <c r="S71" i="1"/>
  <c r="S53" i="1"/>
  <c r="S52" i="1"/>
  <c r="S85" i="1"/>
  <c r="S29" i="1"/>
  <c r="S80" i="1"/>
  <c r="S81" i="1"/>
  <c r="S83" i="1"/>
  <c r="S24" i="1"/>
  <c r="S92" i="1"/>
  <c r="S18" i="1"/>
  <c r="S35" i="1"/>
  <c r="S46" i="1"/>
  <c r="S54" i="1"/>
  <c r="S4" i="1"/>
  <c r="S76" i="1"/>
  <c r="S17" i="1"/>
  <c r="S41" i="1"/>
  <c r="S72" i="1"/>
  <c r="S11" i="1"/>
  <c r="S45" i="1"/>
  <c r="S93" i="1"/>
  <c r="S87" i="1"/>
  <c r="S77" i="1"/>
  <c r="S79" i="1"/>
  <c r="S38" i="1"/>
  <c r="S89" i="1"/>
  <c r="S91" i="1"/>
  <c r="S67" i="1"/>
  <c r="S36" i="1"/>
  <c r="S28" i="1"/>
  <c r="S49" i="1"/>
  <c r="S32" i="1"/>
  <c r="S70" i="1"/>
  <c r="S26" i="1"/>
  <c r="S58" i="1"/>
  <c r="S96" i="1"/>
  <c r="S90" i="1"/>
  <c r="S2" i="1"/>
  <c r="S40" i="1"/>
  <c r="S37" i="1"/>
  <c r="S73" i="1"/>
  <c r="S99" i="1"/>
  <c r="S7" i="1"/>
  <c r="S21" i="1"/>
  <c r="S61" i="1"/>
  <c r="S62" i="1"/>
  <c r="S3" i="1"/>
  <c r="S42" i="1"/>
  <c r="S78" i="1"/>
  <c r="S97" i="1"/>
  <c r="S59" i="1"/>
  <c r="S84" i="1"/>
  <c r="S82" i="1"/>
  <c r="S50" i="1"/>
  <c r="S100" i="1"/>
  <c r="S23" i="1"/>
  <c r="S8" i="1"/>
  <c r="S30" i="1"/>
  <c r="S33" i="1"/>
  <c r="S20" i="1"/>
  <c r="S94" i="1"/>
  <c r="S9" i="1"/>
  <c r="S101" i="1"/>
  <c r="S19" i="1"/>
  <c r="S22" i="1"/>
  <c r="S55" i="1"/>
  <c r="S39" i="1"/>
  <c r="S25" i="1"/>
  <c r="S31" i="1"/>
  <c r="S27" i="1"/>
  <c r="S47" i="1"/>
  <c r="S51" i="1"/>
  <c r="S12" i="1"/>
  <c r="S6" i="1"/>
  <c r="S14" i="1"/>
  <c r="S98" i="1"/>
  <c r="S34" i="1"/>
  <c r="S63" i="1"/>
  <c r="S57" i="1"/>
  <c r="S95" i="1"/>
  <c r="S88" i="1"/>
  <c r="S64" i="1"/>
  <c r="S65" i="1"/>
  <c r="S5" i="1"/>
  <c r="S75" i="1"/>
  <c r="S15" i="1"/>
  <c r="S68" i="1"/>
  <c r="S43" i="1"/>
  <c r="S60" i="1"/>
  <c r="R44" i="1"/>
  <c r="R48" i="1"/>
  <c r="R13" i="1"/>
  <c r="R69" i="1"/>
  <c r="R66" i="1"/>
  <c r="R16" i="1"/>
  <c r="R10" i="1"/>
  <c r="R74" i="1"/>
  <c r="R86" i="1"/>
  <c r="R56" i="1"/>
  <c r="R71" i="1"/>
  <c r="R53" i="1"/>
  <c r="R52" i="1"/>
  <c r="R85" i="1"/>
  <c r="R29" i="1"/>
  <c r="R80" i="1"/>
  <c r="R81" i="1"/>
  <c r="R83" i="1"/>
  <c r="R24" i="1"/>
  <c r="R92" i="1"/>
  <c r="R18" i="1"/>
  <c r="R35" i="1"/>
  <c r="R46" i="1"/>
  <c r="R54" i="1"/>
  <c r="R4" i="1"/>
  <c r="R76" i="1"/>
  <c r="R17" i="1"/>
  <c r="R41" i="1"/>
  <c r="R72" i="1"/>
  <c r="R11" i="1"/>
  <c r="R45" i="1"/>
  <c r="R93" i="1"/>
  <c r="R87" i="1"/>
  <c r="R77" i="1"/>
  <c r="R79" i="1"/>
  <c r="R38" i="1"/>
  <c r="R89" i="1"/>
  <c r="R91" i="1"/>
  <c r="R67" i="1"/>
  <c r="R36" i="1"/>
  <c r="R28" i="1"/>
  <c r="R49" i="1"/>
  <c r="R32" i="1"/>
  <c r="R70" i="1"/>
  <c r="R26" i="1"/>
  <c r="R58" i="1"/>
  <c r="R96" i="1"/>
  <c r="R90" i="1"/>
  <c r="R2" i="1"/>
  <c r="R40" i="1"/>
  <c r="R37" i="1"/>
  <c r="R73" i="1"/>
  <c r="R99" i="1"/>
  <c r="R7" i="1"/>
  <c r="R21" i="1"/>
  <c r="R61" i="1"/>
  <c r="R62" i="1"/>
  <c r="R3" i="1"/>
  <c r="R42" i="1"/>
  <c r="R78" i="1"/>
  <c r="R97" i="1"/>
  <c r="R59" i="1"/>
  <c r="R84" i="1"/>
  <c r="R82" i="1"/>
  <c r="R50" i="1"/>
  <c r="R100" i="1"/>
  <c r="R23" i="1"/>
  <c r="R8" i="1"/>
  <c r="R30" i="1"/>
  <c r="R33" i="1"/>
  <c r="R20" i="1"/>
  <c r="R94" i="1"/>
  <c r="R9" i="1"/>
  <c r="R101" i="1"/>
  <c r="R19" i="1"/>
  <c r="R22" i="1"/>
  <c r="R55" i="1"/>
  <c r="R39" i="1"/>
  <c r="R25" i="1"/>
  <c r="R31" i="1"/>
  <c r="R27" i="1"/>
  <c r="R47" i="1"/>
  <c r="R51" i="1"/>
  <c r="R12" i="1"/>
  <c r="R6" i="1"/>
  <c r="R14" i="1"/>
  <c r="R98" i="1"/>
  <c r="R34" i="1"/>
  <c r="R63" i="1"/>
  <c r="R57" i="1"/>
  <c r="R95" i="1"/>
  <c r="R88" i="1"/>
  <c r="R64" i="1"/>
  <c r="R65" i="1"/>
  <c r="R5" i="1"/>
  <c r="R75" i="1"/>
  <c r="R15" i="1"/>
  <c r="R68" i="1"/>
  <c r="R43" i="1"/>
  <c r="R60" i="1"/>
  <c r="L115" i="1"/>
  <c r="L113" i="1"/>
  <c r="L111" i="1"/>
  <c r="M114" i="1"/>
  <c r="M116" i="1"/>
  <c r="P112" i="1"/>
  <c r="E109" i="1"/>
  <c r="E105" i="1"/>
  <c r="K104" i="1"/>
  <c r="E107" i="1"/>
  <c r="B20" i="7" s="1"/>
  <c r="A104" i="1"/>
  <c r="N108" i="1"/>
  <c r="N106" i="1"/>
  <c r="N104" i="1"/>
  <c r="P110" i="1"/>
  <c r="P108" i="1"/>
  <c r="P106" i="1"/>
  <c r="P104" i="1"/>
  <c r="M104" i="1"/>
  <c r="H103" i="1"/>
  <c r="M110" i="1"/>
  <c r="M108" i="1"/>
  <c r="M112" i="1" s="1"/>
  <c r="M106" i="1"/>
  <c r="B17" i="7" l="1"/>
  <c r="B19" i="7"/>
  <c r="B18" i="7"/>
</calcChain>
</file>

<file path=xl/sharedStrings.xml><?xml version="1.0" encoding="utf-8"?>
<sst xmlns="http://schemas.openxmlformats.org/spreadsheetml/2006/main" count="1096" uniqueCount="282">
  <si>
    <t>Order_ID</t>
  </si>
  <si>
    <t>Order_Date</t>
  </si>
  <si>
    <t>Customer_Name</t>
  </si>
  <si>
    <t>City</t>
  </si>
  <si>
    <t>State</t>
  </si>
  <si>
    <t>Product</t>
  </si>
  <si>
    <t>Category</t>
  </si>
  <si>
    <t>Quantity</t>
  </si>
  <si>
    <t>Unit_Price</t>
  </si>
  <si>
    <t>Discount_%</t>
  </si>
  <si>
    <t>Gross_Sales</t>
  </si>
  <si>
    <t>Discount_Amount</t>
  </si>
  <si>
    <t>Net_Sales</t>
  </si>
  <si>
    <t>Sales_Channel</t>
  </si>
  <si>
    <t>Payment_Method</t>
  </si>
  <si>
    <t>Order_Status</t>
  </si>
  <si>
    <t>Salesperson</t>
  </si>
  <si>
    <t>ORD0001</t>
  </si>
  <si>
    <t>Kavya Yadav</t>
  </si>
  <si>
    <t>Lucknow</t>
  </si>
  <si>
    <t>Uttar Pradesh</t>
  </si>
  <si>
    <t>Laptop</t>
  </si>
  <si>
    <t>Electronics</t>
  </si>
  <si>
    <t>Marketplace</t>
  </si>
  <si>
    <t>Net Banking</t>
  </si>
  <si>
    <t>Delivered</t>
  </si>
  <si>
    <t>Aman</t>
  </si>
  <si>
    <t>ORD0002</t>
  </si>
  <si>
    <t>Kavya Patel</t>
  </si>
  <si>
    <t>Prayagraj</t>
  </si>
  <si>
    <t>Tablet</t>
  </si>
  <si>
    <t>Website</t>
  </si>
  <si>
    <t>Esha</t>
  </si>
  <si>
    <t>ORD0003</t>
  </si>
  <si>
    <t>Amit Yadav</t>
  </si>
  <si>
    <t>Agra</t>
  </si>
  <si>
    <t>ORD0004</t>
  </si>
  <si>
    <t>Priya Patel</t>
  </si>
  <si>
    <t>Noida</t>
  </si>
  <si>
    <t>Office Chair</t>
  </si>
  <si>
    <t>Furniture</t>
  </si>
  <si>
    <t>Cash on Delivery</t>
  </si>
  <si>
    <t>Chetan</t>
  </si>
  <si>
    <t>ORD0005</t>
  </si>
  <si>
    <t>Pooja Yadav</t>
  </si>
  <si>
    <t>Bhopal</t>
  </si>
  <si>
    <t>Madhya Pradesh</t>
  </si>
  <si>
    <t>UPI</t>
  </si>
  <si>
    <t>Deepak</t>
  </si>
  <si>
    <t>ORD0006</t>
  </si>
  <si>
    <t>Ananya Agarwal</t>
  </si>
  <si>
    <t>Pen Set</t>
  </si>
  <si>
    <t>Stationery</t>
  </si>
  <si>
    <t>Credit Card</t>
  </si>
  <si>
    <t>ORD0007</t>
  </si>
  <si>
    <t>Aditya Verma</t>
  </si>
  <si>
    <t>Kanpur</t>
  </si>
  <si>
    <t>Keyboard</t>
  </si>
  <si>
    <t>Accessories</t>
  </si>
  <si>
    <t>Debit Card</t>
  </si>
  <si>
    <t>ORD0008</t>
  </si>
  <si>
    <t>Riya Kumar</t>
  </si>
  <si>
    <t>Mobile App</t>
  </si>
  <si>
    <t>Bhavna</t>
  </si>
  <si>
    <t>ORD0009</t>
  </si>
  <si>
    <t>Simran Agarwal</t>
  </si>
  <si>
    <t>Smartwatch</t>
  </si>
  <si>
    <t>ORD0010</t>
  </si>
  <si>
    <t>Neha Patel</t>
  </si>
  <si>
    <t>Varanasi</t>
  </si>
  <si>
    <t>Webcam</t>
  </si>
  <si>
    <t>ORD0011</t>
  </si>
  <si>
    <t>Priya Tiwari</t>
  </si>
  <si>
    <t>Delhi</t>
  </si>
  <si>
    <t>Speaker</t>
  </si>
  <si>
    <t>Cancelled</t>
  </si>
  <si>
    <t>ORD0012</t>
  </si>
  <si>
    <t>Mohit Yadav</t>
  </si>
  <si>
    <t>Notebook</t>
  </si>
  <si>
    <t>ORD0013</t>
  </si>
  <si>
    <t>Mohit Sharma</t>
  </si>
  <si>
    <t>Mouse</t>
  </si>
  <si>
    <t>Returned</t>
  </si>
  <si>
    <t>ORD0014</t>
  </si>
  <si>
    <t>Saurabh Yadav</t>
  </si>
  <si>
    <t>Headphones</t>
  </si>
  <si>
    <t>ORD0015</t>
  </si>
  <si>
    <t>Ishita Patel</t>
  </si>
  <si>
    <t>Patna</t>
  </si>
  <si>
    <t>Bihar</t>
  </si>
  <si>
    <t>ORD0016</t>
  </si>
  <si>
    <t>Rohan Yadav</t>
  </si>
  <si>
    <t>Desk</t>
  </si>
  <si>
    <t>ORD0017</t>
  </si>
  <si>
    <t>Monitor</t>
  </si>
  <si>
    <t>ORD0018</t>
  </si>
  <si>
    <t>Saurabh Agarwal</t>
  </si>
  <si>
    <t>ORD0019</t>
  </si>
  <si>
    <t>Arjun Sharma</t>
  </si>
  <si>
    <t>ORD0020</t>
  </si>
  <si>
    <t>Simran Singh</t>
  </si>
  <si>
    <t>Backpack</t>
  </si>
  <si>
    <t>ORD0021</t>
  </si>
  <si>
    <t>Ananya Verma</t>
  </si>
  <si>
    <t>ORD0022</t>
  </si>
  <si>
    <t>Karan Gupta</t>
  </si>
  <si>
    <t>Jaipur</t>
  </si>
  <si>
    <t>Rajasthan</t>
  </si>
  <si>
    <t>ORD0023</t>
  </si>
  <si>
    <t>Kavya Sharma</t>
  </si>
  <si>
    <t>Calculator</t>
  </si>
  <si>
    <t>ORD0024</t>
  </si>
  <si>
    <t>External HDD</t>
  </si>
  <si>
    <t>ORD0025</t>
  </si>
  <si>
    <t>Aditya Agarwal</t>
  </si>
  <si>
    <t>ORD0026</t>
  </si>
  <si>
    <t>Rohan Gupta</t>
  </si>
  <si>
    <t>ORD0027</t>
  </si>
  <si>
    <t>Ananya Tiwari</t>
  </si>
  <si>
    <t>ORD0028</t>
  </si>
  <si>
    <t>Kavya Gupta</t>
  </si>
  <si>
    <t>ORD0029</t>
  </si>
  <si>
    <t>USB Drive</t>
  </si>
  <si>
    <t>ORD0030</t>
  </si>
  <si>
    <t>Aditya Yadav</t>
  </si>
  <si>
    <t>ORD0031</t>
  </si>
  <si>
    <t>ORD0032</t>
  </si>
  <si>
    <t>ORD0033</t>
  </si>
  <si>
    <t>ORD0034</t>
  </si>
  <si>
    <t>ORD0035</t>
  </si>
  <si>
    <t>Rohan Verma</t>
  </si>
  <si>
    <t>ORD0036</t>
  </si>
  <si>
    <t>Karan Tiwari</t>
  </si>
  <si>
    <t>Printer</t>
  </si>
  <si>
    <t>ORD0037</t>
  </si>
  <si>
    <t>Simran Mishra</t>
  </si>
  <si>
    <t>ORD0038</t>
  </si>
  <si>
    <t>Simran Sharma</t>
  </si>
  <si>
    <t>ORD0039</t>
  </si>
  <si>
    <t>Priya Gupta</t>
  </si>
  <si>
    <t>ORD0040</t>
  </si>
  <si>
    <t>Karan Singh</t>
  </si>
  <si>
    <t>ORD0041</t>
  </si>
  <si>
    <t>Ishita Mishra</t>
  </si>
  <si>
    <t>Power Bank</t>
  </si>
  <si>
    <t>ORD0042</t>
  </si>
  <si>
    <t>Mohit Agarwal</t>
  </si>
  <si>
    <t>ORD0043</t>
  </si>
  <si>
    <t>Ishita Yadav</t>
  </si>
  <si>
    <t>ORD0044</t>
  </si>
  <si>
    <t>ORD0045</t>
  </si>
  <si>
    <t>Arjun Tiwari</t>
  </si>
  <si>
    <t>Smartphone</t>
  </si>
  <si>
    <t>ORD0046</t>
  </si>
  <si>
    <t>Nisha Kumar</t>
  </si>
  <si>
    <t>Shipped</t>
  </si>
  <si>
    <t>ORD0047</t>
  </si>
  <si>
    <t>Vikas Mishra</t>
  </si>
  <si>
    <t>ORD0048</t>
  </si>
  <si>
    <t>Simran Patel</t>
  </si>
  <si>
    <t>ORD0049</t>
  </si>
  <si>
    <t>Aarav Agarwal</t>
  </si>
  <si>
    <t>ORD0050</t>
  </si>
  <si>
    <t>Kavya Agarwal</t>
  </si>
  <si>
    <t>ORD0051</t>
  </si>
  <si>
    <t>ORD0052</t>
  </si>
  <si>
    <t>Rahul Kumar</t>
  </si>
  <si>
    <t>ORD0053</t>
  </si>
  <si>
    <t>Vikas Patel</t>
  </si>
  <si>
    <t>ORD0054</t>
  </si>
  <si>
    <t>Aditya Sharma</t>
  </si>
  <si>
    <t>ORD0055</t>
  </si>
  <si>
    <t>Arjun Gupta</t>
  </si>
  <si>
    <t>ORD0056</t>
  </si>
  <si>
    <t>Pooja Agarwal</t>
  </si>
  <si>
    <t>ORD0057</t>
  </si>
  <si>
    <t>ORD0058</t>
  </si>
  <si>
    <t>Aarav Patel</t>
  </si>
  <si>
    <t>ORD0059</t>
  </si>
  <si>
    <t>Kavya Kumar</t>
  </si>
  <si>
    <t>ORD0060</t>
  </si>
  <si>
    <t>Rohan Kumar</t>
  </si>
  <si>
    <t>ORD0061</t>
  </si>
  <si>
    <t>ORD0062</t>
  </si>
  <si>
    <t>Nisha Tiwari</t>
  </si>
  <si>
    <t>ORD0063</t>
  </si>
  <si>
    <t>Saurabh Mishra</t>
  </si>
  <si>
    <t>ORD0064</t>
  </si>
  <si>
    <t>ORD0065</t>
  </si>
  <si>
    <t>ORD0066</t>
  </si>
  <si>
    <t>Vikas Sharma</t>
  </si>
  <si>
    <t>ORD0067</t>
  </si>
  <si>
    <t>Arjun Mishra</t>
  </si>
  <si>
    <t>ORD0068</t>
  </si>
  <si>
    <t>Aditya Singh</t>
  </si>
  <si>
    <t>ORD0069</t>
  </si>
  <si>
    <t>Ishita Verma</t>
  </si>
  <si>
    <t>ORD0070</t>
  </si>
  <si>
    <t>ORD0071</t>
  </si>
  <si>
    <t>Arjun Agarwal</t>
  </si>
  <si>
    <t>ORD0072</t>
  </si>
  <si>
    <t>Vikas Agarwal</t>
  </si>
  <si>
    <t>ORD0073</t>
  </si>
  <si>
    <t>ORD0074</t>
  </si>
  <si>
    <t>Vikas Tiwari</t>
  </si>
  <si>
    <t>ORD0075</t>
  </si>
  <si>
    <t>ORD0076</t>
  </si>
  <si>
    <t>ORD0077</t>
  </si>
  <si>
    <t>Neha Mishra</t>
  </si>
  <si>
    <t>ORD0078</t>
  </si>
  <si>
    <t>ORD0079</t>
  </si>
  <si>
    <t>ORD0080</t>
  </si>
  <si>
    <t>ORD0081</t>
  </si>
  <si>
    <t>Arjun Yadav</t>
  </si>
  <si>
    <t>ORD0082</t>
  </si>
  <si>
    <t>Kavya Singh</t>
  </si>
  <si>
    <t>ORD0083</t>
  </si>
  <si>
    <t>Mohit Gupta</t>
  </si>
  <si>
    <t>ORD0084</t>
  </si>
  <si>
    <t>Amit Tiwari</t>
  </si>
  <si>
    <t>ORD0085</t>
  </si>
  <si>
    <t>Aditya Mishra</t>
  </si>
  <si>
    <t>ORD0086</t>
  </si>
  <si>
    <t>ORD0087</t>
  </si>
  <si>
    <t>ORD0088</t>
  </si>
  <si>
    <t>ORD0089</t>
  </si>
  <si>
    <t>Pooja Sharma</t>
  </si>
  <si>
    <t>ORD0090</t>
  </si>
  <si>
    <t>Neha Singh</t>
  </si>
  <si>
    <t>ORD0091</t>
  </si>
  <si>
    <t>Vikas Kumar</t>
  </si>
  <si>
    <t>ORD0092</t>
  </si>
  <si>
    <t>Simran Gupta</t>
  </si>
  <si>
    <t>ORD0093</t>
  </si>
  <si>
    <t>ORD0094</t>
  </si>
  <si>
    <t>Pooja Verma</t>
  </si>
  <si>
    <t>ORD0095</t>
  </si>
  <si>
    <t>Aditya Gupta</t>
  </si>
  <si>
    <t>ORD0096</t>
  </si>
  <si>
    <t>Riya Singh</t>
  </si>
  <si>
    <t>ORD0097</t>
  </si>
  <si>
    <t>ORD0098</t>
  </si>
  <si>
    <t>Priya Kumar</t>
  </si>
  <si>
    <t>ORD0099</t>
  </si>
  <si>
    <t>Kavya Mishra</t>
  </si>
  <si>
    <t>ORD0100</t>
  </si>
  <si>
    <t>Nisha Yadav</t>
  </si>
  <si>
    <t>Total</t>
  </si>
  <si>
    <t>Average</t>
  </si>
  <si>
    <t>delivered</t>
  </si>
  <si>
    <t>cancled</t>
  </si>
  <si>
    <t>returned</t>
  </si>
  <si>
    <t>shipped</t>
  </si>
  <si>
    <t>marketplace</t>
  </si>
  <si>
    <t>mobile app</t>
  </si>
  <si>
    <t>website</t>
  </si>
  <si>
    <t>highest</t>
  </si>
  <si>
    <t>smallest</t>
  </si>
  <si>
    <t>Counta</t>
  </si>
  <si>
    <t>Delivered &amp; Website</t>
  </si>
  <si>
    <t>uttar Pradesh &amp; Accessories</t>
  </si>
  <si>
    <t>uttar Pradesh &amp; Electronics</t>
  </si>
  <si>
    <t>Bihar &amp; Electronics</t>
  </si>
  <si>
    <t>Greater Than 10000</t>
  </si>
  <si>
    <t>Greater Than 10000 &amp; Smaller Than 40000</t>
  </si>
  <si>
    <t>Column1</t>
  </si>
  <si>
    <t>&lt; 10000 &amp; &gt; 50000</t>
  </si>
  <si>
    <t>Aceessories</t>
  </si>
  <si>
    <t>Sales Performance</t>
  </si>
  <si>
    <t>Row Labels</t>
  </si>
  <si>
    <t>Grand Total</t>
  </si>
  <si>
    <t>Sum of Net_Sales</t>
  </si>
  <si>
    <t>Count of Net_Sales</t>
  </si>
  <si>
    <t>Jan</t>
  </si>
  <si>
    <t>Feb</t>
  </si>
  <si>
    <t>Mar</t>
  </si>
  <si>
    <t>Apr</t>
  </si>
  <si>
    <t>May</t>
  </si>
  <si>
    <t>Jun</t>
  </si>
  <si>
    <t>Jul</t>
  </si>
  <si>
    <t>Aug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</si>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</sst>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pivotButton="1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1" xfId="0" pivotButton="1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0" xfId="0" pivotButton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/>
  </cellXfs>
  <cellStyles count="2">
    <cellStyle name="40% - Accent3" xfId="1" builtinId="39"/>
    <cellStyle name="Normal" xfId="0" builtinId="0"/>
  </cellStyles>
  <dxfs count="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4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</font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9" defaultPivotStyle="PivotStyleLight16"/>
  <colors>
    <mruColors>
      <color rgb="FFB94441"/>
      <color rgb="FF007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[Excel_Practice_Sales_Data.xlsx]Total Sales!PivotTable2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'Total Sales'!$A$2:$A$6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'Total Sales'!$B$2:$B$6</c:f>
              <c:numCache>
                <c:formatCode>General</c:formatCode>
                <c:ptCount val="4"/>
                <c:pt idx="0">
                  <c:v>74509.5</c:v>
                </c:pt>
                <c:pt idx="1">
                  <c:v>2458807</c:v>
                </c:pt>
                <c:pt idx="2">
                  <c:v>222850</c:v>
                </c:pt>
                <c:pt idx="3">
                  <c:v>7978.5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5A-42C2-A641-13D791CA5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15357279"/>
        <c:axId val="1741378223"/>
      </c:barChart>
      <c:catAx>
        <c:axId val="201535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78223"/>
        <c:crosses val="autoZero"/>
        <c:auto val="1"/>
        <c:lblAlgn val="ctr"/>
        <c:lblOffset val="100"/>
        <c:noMultiLvlLbl val="0"/>
      </c:catAx>
      <c:valAx>
        <c:axId val="174137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5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[Excel_Practice_Sales_Data.xlsx]Total Sales!PivotTable4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42000"/>
                  <a:shade val="51000"/>
                  <a:satMod val="130000"/>
                </a:schemeClr>
              </a:gs>
              <a:gs pos="80000">
                <a:schemeClr val="accent2">
                  <a:shade val="42000"/>
                  <a:shade val="93000"/>
                  <a:satMod val="130000"/>
                </a:schemeClr>
              </a:gs>
              <a:gs pos="100000">
                <a:schemeClr val="accent2">
                  <a:shade val="42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2">
                  <a:shade val="55000"/>
                  <a:shade val="51000"/>
                  <a:satMod val="130000"/>
                </a:schemeClr>
              </a:gs>
              <a:gs pos="80000">
                <a:schemeClr val="accent2">
                  <a:shade val="55000"/>
                  <a:shade val="93000"/>
                  <a:satMod val="130000"/>
                </a:schemeClr>
              </a:gs>
              <a:gs pos="100000">
                <a:schemeClr val="accent2">
                  <a:shade val="55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2">
                  <a:shade val="68000"/>
                  <a:shade val="51000"/>
                  <a:satMod val="130000"/>
                </a:schemeClr>
              </a:gs>
              <a:gs pos="80000">
                <a:schemeClr val="accent2">
                  <a:shade val="68000"/>
                  <a:shade val="93000"/>
                  <a:satMod val="130000"/>
                </a:schemeClr>
              </a:gs>
              <a:gs pos="100000">
                <a:schemeClr val="accent2">
                  <a:shade val="68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2">
                  <a:shade val="80000"/>
                  <a:shade val="51000"/>
                  <a:satMod val="130000"/>
                </a:schemeClr>
              </a:gs>
              <a:gs pos="80000">
                <a:schemeClr val="accent2">
                  <a:shade val="80000"/>
                  <a:shade val="93000"/>
                  <a:satMod val="130000"/>
                </a:schemeClr>
              </a:gs>
              <a:gs pos="100000">
                <a:schemeClr val="accent2">
                  <a:shade val="8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2">
                  <a:shade val="93000"/>
                  <a:shade val="51000"/>
                  <a:satMod val="130000"/>
                </a:schemeClr>
              </a:gs>
              <a:gs pos="80000">
                <a:schemeClr val="accent2">
                  <a:shade val="93000"/>
                  <a:shade val="93000"/>
                  <a:satMod val="130000"/>
                </a:schemeClr>
              </a:gs>
              <a:gs pos="100000">
                <a:schemeClr val="accent2">
                  <a:shade val="93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2">
                  <a:tint val="94000"/>
                  <a:shade val="51000"/>
                  <a:satMod val="130000"/>
                </a:schemeClr>
              </a:gs>
              <a:gs pos="80000">
                <a:schemeClr val="accent2">
                  <a:tint val="94000"/>
                  <a:shade val="93000"/>
                  <a:satMod val="130000"/>
                </a:schemeClr>
              </a:gs>
              <a:gs pos="100000">
                <a:schemeClr val="accent2">
                  <a:tint val="94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2">
                  <a:tint val="81000"/>
                  <a:shade val="51000"/>
                  <a:satMod val="130000"/>
                </a:schemeClr>
              </a:gs>
              <a:gs pos="80000">
                <a:schemeClr val="accent2">
                  <a:tint val="81000"/>
                  <a:shade val="93000"/>
                  <a:satMod val="130000"/>
                </a:schemeClr>
              </a:gs>
              <a:gs pos="100000">
                <a:schemeClr val="accent2">
                  <a:tint val="81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2">
                  <a:tint val="69000"/>
                  <a:shade val="51000"/>
                  <a:satMod val="130000"/>
                </a:schemeClr>
              </a:gs>
              <a:gs pos="80000">
                <a:schemeClr val="accent2">
                  <a:tint val="69000"/>
                  <a:shade val="93000"/>
                  <a:satMod val="130000"/>
                </a:schemeClr>
              </a:gs>
              <a:gs pos="100000">
                <a:schemeClr val="accent2">
                  <a:tint val="69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2">
                  <a:tint val="56000"/>
                  <a:shade val="51000"/>
                  <a:satMod val="130000"/>
                </a:schemeClr>
              </a:gs>
              <a:gs pos="80000">
                <a:schemeClr val="accent2">
                  <a:tint val="56000"/>
                  <a:shade val="93000"/>
                  <a:satMod val="130000"/>
                </a:schemeClr>
              </a:gs>
              <a:gs pos="100000">
                <a:schemeClr val="accent2">
                  <a:tint val="56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2">
                  <a:tint val="43000"/>
                  <a:shade val="51000"/>
                  <a:satMod val="130000"/>
                </a:schemeClr>
              </a:gs>
              <a:gs pos="80000">
                <a:schemeClr val="accent2">
                  <a:tint val="43000"/>
                  <a:shade val="93000"/>
                  <a:satMod val="130000"/>
                </a:schemeClr>
              </a:gs>
              <a:gs pos="100000">
                <a:schemeClr val="accent2">
                  <a:tint val="43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 Sales'!$B$15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42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42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42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092-43A5-AE59-3516C7550DD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5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55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5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092-43A5-AE59-3516C7550DD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68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68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68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092-43A5-AE59-3516C7550DD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shade val="80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80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092-43A5-AE59-3516C7550DD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shade val="93000"/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hade val="93000"/>
                      <a:satMod val="130000"/>
                    </a:schemeClr>
                  </a:gs>
                  <a:gs pos="100000">
                    <a:schemeClr val="accent2">
                      <a:shade val="9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092-43A5-AE59-3516C7550DD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94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94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A092-43A5-AE59-3516C7550DD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tint val="81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81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81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A092-43A5-AE59-3516C7550DD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tint val="69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69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69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A092-43A5-AE59-3516C7550DD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2">
                      <a:tint val="56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56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5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A092-43A5-AE59-3516C7550DD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tint val="43000"/>
                      <a:shade val="51000"/>
                      <a:satMod val="130000"/>
                    </a:schemeClr>
                  </a:gs>
                  <a:gs pos="80000">
                    <a:schemeClr val="accent2">
                      <a:tint val="43000"/>
                      <a:shade val="93000"/>
                      <a:satMod val="130000"/>
                    </a:schemeClr>
                  </a:gs>
                  <a:gs pos="100000">
                    <a:schemeClr val="accent2">
                      <a:tint val="43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A092-43A5-AE59-3516C7550D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Sales'!$A$16:$A$26</c:f>
              <c:strCache>
                <c:ptCount val="10"/>
                <c:pt idx="0">
                  <c:v>Agra</c:v>
                </c:pt>
                <c:pt idx="1">
                  <c:v>Bhopal</c:v>
                </c:pt>
                <c:pt idx="2">
                  <c:v>Delhi</c:v>
                </c:pt>
                <c:pt idx="3">
                  <c:v>Jaipur</c:v>
                </c:pt>
                <c:pt idx="4">
                  <c:v>Kanpur</c:v>
                </c:pt>
                <c:pt idx="5">
                  <c:v>Lucknow</c:v>
                </c:pt>
                <c:pt idx="6">
                  <c:v>Noida</c:v>
                </c:pt>
                <c:pt idx="7">
                  <c:v>Patna</c:v>
                </c:pt>
                <c:pt idx="8">
                  <c:v>Prayagraj</c:v>
                </c:pt>
                <c:pt idx="9">
                  <c:v>Varanasi</c:v>
                </c:pt>
              </c:strCache>
            </c:strRef>
          </c:cat>
          <c:val>
            <c:numRef>
              <c:f>'Total Sales'!$B$16:$B$26</c:f>
              <c:numCache>
                <c:formatCode>General</c:formatCode>
                <c:ptCount val="10"/>
                <c:pt idx="0">
                  <c:v>15</c:v>
                </c:pt>
                <c:pt idx="1">
                  <c:v>8</c:v>
                </c:pt>
                <c:pt idx="2">
                  <c:v>12</c:v>
                </c:pt>
                <c:pt idx="3">
                  <c:v>10</c:v>
                </c:pt>
                <c:pt idx="4">
                  <c:v>7</c:v>
                </c:pt>
                <c:pt idx="5">
                  <c:v>10</c:v>
                </c:pt>
                <c:pt idx="6">
                  <c:v>12</c:v>
                </c:pt>
                <c:pt idx="7">
                  <c:v>11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7-4728-AB79-46DE4BB3ED4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[Excel_Practice_Sales_Data.xlsx]Total Sales!PivotTable5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Sales'!$B$33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Sales'!$A$34:$A$47</c:f>
              <c:strCache>
                <c:ptCount val="13"/>
                <c:pt idx="0">
                  <c:v>Aarav Agarwal</c:v>
                </c:pt>
                <c:pt idx="1">
                  <c:v>Amit Yadav</c:v>
                </c:pt>
                <c:pt idx="2">
                  <c:v>Ananya Verma</c:v>
                </c:pt>
                <c:pt idx="3">
                  <c:v>Arjun Tiwari</c:v>
                </c:pt>
                <c:pt idx="4">
                  <c:v>Ishita Yadav</c:v>
                </c:pt>
                <c:pt idx="5">
                  <c:v>Karan Tiwari</c:v>
                </c:pt>
                <c:pt idx="6">
                  <c:v>Mohit Gupta</c:v>
                </c:pt>
                <c:pt idx="7">
                  <c:v>Nisha Kumar</c:v>
                </c:pt>
                <c:pt idx="8">
                  <c:v>Pooja Agarwal</c:v>
                </c:pt>
                <c:pt idx="9">
                  <c:v>Priya Kumar</c:v>
                </c:pt>
                <c:pt idx="10">
                  <c:v>Simran Mishra</c:v>
                </c:pt>
                <c:pt idx="11">
                  <c:v>Vikas Agarwal</c:v>
                </c:pt>
                <c:pt idx="12">
                  <c:v>Vikas Tiwari</c:v>
                </c:pt>
              </c:strCache>
            </c:strRef>
          </c:cat>
          <c:val>
            <c:numRef>
              <c:f>'Total Sales'!$B$34:$B$47</c:f>
              <c:numCache>
                <c:formatCode>General</c:formatCode>
                <c:ptCount val="13"/>
                <c:pt idx="0">
                  <c:v>45322</c:v>
                </c:pt>
                <c:pt idx="1">
                  <c:v>136988</c:v>
                </c:pt>
                <c:pt idx="2">
                  <c:v>3827</c:v>
                </c:pt>
                <c:pt idx="3">
                  <c:v>118750</c:v>
                </c:pt>
                <c:pt idx="4">
                  <c:v>32210</c:v>
                </c:pt>
                <c:pt idx="5">
                  <c:v>10782</c:v>
                </c:pt>
                <c:pt idx="6">
                  <c:v>3655</c:v>
                </c:pt>
                <c:pt idx="7">
                  <c:v>11840</c:v>
                </c:pt>
                <c:pt idx="8">
                  <c:v>94237.5</c:v>
                </c:pt>
                <c:pt idx="9">
                  <c:v>26902.5</c:v>
                </c:pt>
                <c:pt idx="10">
                  <c:v>5895</c:v>
                </c:pt>
                <c:pt idx="11">
                  <c:v>2116.5</c:v>
                </c:pt>
                <c:pt idx="12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C06F-4924-A485-A576BB24F1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3082351"/>
        <c:axId val="132243695"/>
      </c:barChart>
      <c:catAx>
        <c:axId val="10308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43695"/>
        <c:crosses val="autoZero"/>
        <c:auto val="1"/>
        <c:lblAlgn val="ctr"/>
        <c:lblOffset val="100"/>
        <c:noMultiLvlLbl val="0"/>
      </c:catAx>
      <c:valAx>
        <c:axId val="13224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[Excel_Practice_Sales_Data.xlsx]Month Wise Sales!PivotTable1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 Wise Sales'!$B$1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'Month Wise Sales'!$A$2:$A$10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'Month Wise Sales'!$B$2:$B$10</c:f>
              <c:numCache>
                <c:formatCode>General</c:formatCode>
                <c:ptCount val="8"/>
                <c:pt idx="0">
                  <c:v>525982.5</c:v>
                </c:pt>
                <c:pt idx="1">
                  <c:v>203187</c:v>
                </c:pt>
                <c:pt idx="2">
                  <c:v>569955</c:v>
                </c:pt>
                <c:pt idx="3">
                  <c:v>187843.5</c:v>
                </c:pt>
                <c:pt idx="4">
                  <c:v>431359</c:v>
                </c:pt>
                <c:pt idx="5">
                  <c:v>123646.5</c:v>
                </c:pt>
                <c:pt idx="6">
                  <c:v>350634.5</c:v>
                </c:pt>
                <c:pt idx="7">
                  <c:v>371537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A-4F7F-9867-092EBD291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363904"/>
        <c:axId val="2059224592"/>
      </c:barChart>
      <c:catAx>
        <c:axId val="17836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224592"/>
        <c:crosses val="autoZero"/>
        <c:auto val="1"/>
        <c:lblAlgn val="ctr"/>
        <c:lblOffset val="100"/>
        <c:noMultiLvlLbl val="0"/>
      </c:catAx>
      <c:valAx>
        <c:axId val="205922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State Sales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/>
            </a:rPr>
            <a:t>State Sales </a:t>
          </a:r>
        </a:p>
      </cx:txPr>
      <cx:extLst>
        <cx:ext uri="ext:featex">
          <cx:featureExtension feature="mp" drop="onModelChange">
            <cx:offset top="-0.062499992549419403" left="-0.1041666716337204"/>
          </cx:featureExtension>
        </cx:ext>
      </cx:extLst>
    </cx:title>
    <cx:plotArea>
      <cx:plotAreaRegion>
        <cx:series layoutId="regionMap" uniqueId="{00000000-D3D2-4EE9-BE59-2D332D559BC9}">
          <cx:tx>
            <cx:txData>
              <cx:f>_xlchart.v5.2</cx:f>
              <cx:v>Sales</cx:v>
            </cx:txData>
          </cx:tx>
          <cx:dataLabels>
            <cx:visibility seriesName="0" categoryName="0" value="1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1HxZk5440u5f6fD1wa1dYmJ6LoC3qNUul9fyDVEu2yAQqyRA/Povq93dU2a8zLwx58R3HI5wVAGJ
yMznyVRmyn+/X/92bz7dTb+srens3+7X355Uzg1/+/VXe199au/s01bfT73tP7un9337a//5s77/
9OvH6W7RXfkrQZj9el/dTe7T+uQffwdp5af+sr+/c7rvXvhPU7j5ZL1x9gfXvnnpl7uPre4ybd2k
7x3+7clr52CV19Pdx0+2evLLp85pF16F4dNvT7669ckvv+4F/svLfzGwPuc/wrNEPI0J5QJj9OUP
fvKL6bvyj8sKPeVCUE4UjX//Q/989bO7Fh7/t1f1+5ruPn6cPlkL3/b7v//y+FcfAlevn/xy3/vO
PWixBIX+9uSs+6jvnvyibZ9+uZD2D19x9uz3z/71a/3/4++7X4Aidr95ZKK91n526V8sdHNX31lX
3XV/qui/Yh2uGFgAky/WIV9ZR9KnisUxEjH+Yh3+56u/WOffWtG3LfPo0Z1Vbs7/v7JK9slU+k+1
/Bcsop4KRinoXHwLL1I+xZgzqfgfFhF/vvqLRX66mm9b44/HdpbILv9XW+Lb0H1MXF/d8Z8SF3n6
QEsC/0FMsfoaGvFTKihViNEvdpJfG+IPIvn+ar5tiD8e+2rh/7tZKdEQnf789v+C//OnQsbg3vwP
ve7iBVxGsRAsBqb6otwvjv/TZXxb3388tnP85OZ/teN/tVoI3Vd3H6tw938hdtOnnCosOVff5CL1
lCgVAwr+4KJd7P73l/Vt2+yf/+qz4av/H0fv70f2v/Kf7M7dHX5PnB4F9x9f/f3TIafbPfqj/OuL
2599hORKEgZK/yshexDyFSoeRdl/eeoTJBO/PZFgRAmIYxB0eEwlRPjl08MFET9likoiOKSgginG
nvzS9ZOrfntCEQQhEsdge8IQoQ+XbO8fLhH6FDHG45hTihRGnP+VtV73JpR995c6/vj5l863173u
nP3tiRKA6uHLfQ/fJxkmOJZIKBnHkkolEFy/v7uB1Bhux/+nR8MadZGzJ6gVrcmjYrXFFTHc68TG
vTjrVCn6xK6zFXlc1/2SjIJsXdZGTfvMTnFUJi0p1QWZG3qy0JVeijFudNqGYTKpXKZhS7eFd2Na
+5b4y7hdT7ys6Zw0o1xcHiaKlmSeh+1QljxaUq9ZceWnZZoy3XbirIrtMB28b9shF6Fubje9rkuG
6bqWB7XU/ZQ0fTvbFHVFebmqWXyg4+gPpYyXfJ1jdb01eLsaIxUd2mFr0tg3/WEYfXMzk2G8nwmK
7kK3mvY1MoX40Daue0d8WU5pIL5uk5YXVXVSMlt+nJGs3xrVujEZEZl5MiyyUbmc2/WlRcjnOvCJ
XCI5+tsQhiIbtrDeUsXWJVk6NDzTwU4oaztcz4no3CbThpAKZcZFdMtEXY4mmVs9Fck84cEmZUeH
5+2ExyYJ2Me3Q49peYc61deJ7kPUHJZm9GUysml6Jhjmt8rhukvcUuEyYXEXnVtLjQOhs9+ySMYz
vVBzsF1uu77HZz3uppS5zr/13tUmIc5Z+IDGsCFB69SejHVXf6DON5dbzYZroyf2scJ4fR17jobE
h2LrkmUdu/Oh2eo+ocOyHgqzDG9a25l83lQv0pZ7WSZdGHuToM3zN5Uv3ZtxHJoyG7dYx8m4sf4G
i7IeD7CC9c28OHPdDWP1osG2nk6K4OLTSjubU7SW7+pylRwnhGupMt35lWZK+u2td8M8nQu84Cil
eo3wiY+qQE4jNtd33M6+TeK+KekFlkM3JXxCHdgMz1HSAkG/suNcT4dCiTAkmNXjnA69dUXigvRT
Ggdl33gh5JZ6s6y3tXDqstZx3CQ6ngp/mF3RDuCwgRSpbcQSJ3jSHc2Xtp/GvFhqOhzc2JZNhvpo
zlkd+0vbMvLC20W9bmrLk7ip4K1RZ9s2jed2uy5qR83NWo594mNLT/Uo6DWuNnexzqiacmM73iYY
q+62I765kDIqogz3k7gfHJIZ7loVnUyeunNdBMFStFKdTLxbDnHXi9u4rLFKWqzxmPY+KodsmH28
pHQg5kSMZDpTdHX1ST9V/gT1yLt02SIa0n5x5Q3bSOyTsarjd2jR49saGfVBzIpdyGV2XYIiEF4v
oUlZr976WSuT9nRhSXCY3UmuBXpesrIXh9Yspkzi1fjnY7ctIWu8Z+fTzKYy2cxc1Cd0Gvw73lf2
Q1WXqk2MDMrkE/BAfUKazdPTJpDAk1IgeHOBZuqTQjSyuhiHcuFpr6VfkorGeE5XEQ9VunJfooNu
qG2TUQ/LVdhWhjMykMmlscJFlfSFAphXyAWVNChupmQAh73rWaTvmmiIilMSV+ZjGD0+qeOSXnaA
8C2RyFb3kxD9MykHnq8IbW+q2AudkIKy+8m39XMVpGAX6yb09Kz0/fw+2jqa1B2zKUZ9fKlwXb4G
j6pT0cbgld209ScQTMJt44N5NpYKLemERiaTsSlJzrHr4gOX8309sTWXpR3TUIX20FVrs2a+xt5e
tA7P4rI0YnsJZMPbV02sijtVR+oZKcEhToQcp3NbDs07HWjhE+WUlAkybfR2RKt/1swx+uyXarOJ
qge/JaMbjUwA35cIkf6jo2NMgds1QTlkPo16w9aodolHLY1O/GyDzFk3AcwWxpFNXbdRcjXJ4E5l
0fNXqsAGZ3jxIWk9IIVZ67qDrfvqgnL9vnS4PaVGk8SRwd+Z1Q8v/TKzlNiAEr7y6CUDOmvThY1y
Tpdmk01SxoYcfNjmOx6vVJzqlXbXcRORKZm3MJ/hzvEzacbtnTPSDwfcL+qAB9p3p1PhmH6JWLty
uLfQb0YrNpT4SpmTGML9WbOStk4atg1ARwvCH30xyOe9N/R9FM3tNQm4P6Hj6t+YclX6uq1cC4RC
Si4SypfufW3a9bQzYqWpXwb9UXhRpZWeenWItjFe03k2i3xVRn7+vEpN2oy37fieT0xOibN2qtKi
Ln3KorZ3qV4LPidlL9uDmUczJHwOajzwrbj207yhg9RFOWfKSWAtFmHx1sJeAAJ3U5yiDaET0sYm
ZXGxvGxiuV6QiJDT0s/Vq771VTJgNR+GQvHzonH+1ga7FEnZ9lGVMNZuJnnAYZQoI7tLPk/0uRvF
jTdyzagY3/blDMAs+yipaqeSXvPiQtPJd8lq2ce1qtFZWcUqJXwYUzcPIWNBv28gH0yKUX7iq/7g
ShblWJs+c0XZ+tRbjeuElyt76xo9qkM/ABMnFbexTUjPFnrGBG9oGthYD2cLK6ol4VHfs5RGgs9Z
aQId01Iav52sk5rWZK3Ux74f+yoh2OE31aCiLRmQ0/x0aYxan23gPh8LIbY+XWZIdVhlWpehyvaX
zNXhZItRfdqUdXQg86jBV8x84VenMgmAsJmhuj7rnUGHqq7lTcOxOeFzYbJijpv7VmnyWenC3RpF
bbZuwX6IRtqnzSaYzhZU9z5hvBDPpOhF0sVLhw9NZ7Y6QVPXiMtQ91H0mlXajEmxzLpPVePHLiOj
nrdno+o0ObTgMGXWDnUVDmXhKD7MU7meDTqiz0Y8bzo1Ky37Q489fUdk1dRn8UbtJzUWJGmFWcB3
1GDO2tbGNAVGmOUJXZF6vm2GhmTrpvhq2Yb4EjkSQuqwrz60g6XnfJqiJinmyn0YiBOQqMR9eI+I
dHUWmKNx6iO1AVuUxSbzTuBWJw55yENLYba8DbxYswa0fIUnRWjiGypFQlZx3rRTkQ6kV0vSC2Lf
QBK16aSJMbm3Y5je+d5V56blqso6oohOICitz8op7iGSxBOKUol5gRNLcf3cS1xVCRXcZYOIqi3D
jZvE5Vzq9oxPWNVAZ4icLMv0EP02ORoIqwjeR0y7XXEDME3XWKms5Ua8WOKtfwO1DilTrnR/piIp
39XL6OvTDlfji7keyj5TJZnCwWsQeal7GfTzCRfl1VrbyaeUWMhfRDy+IEMrbgo7ySEpiHBTUs4b
HYArCfjJzGP4Zmo8OpltnU1qKbLZVXpJIkhMX/CSLxe+APWkRYW3KgEa52+aBbJioIwqDLlGXTMe
VMVU+7bkdf+JTC3RN40LQBfl8pAd1dWwDXnhnbmDRKG4CfMayks1DBYl/ejCBrCJy/bQtFp2SRhr
siZA0MFlRV25N03B8AxxGbnnvg/FRefn+QAQmD61nuObpZkrm+EhNi+qbY1ekxHFb8i88pzMcfzJ
0xm9DpFaLhTn0W1ARTSmxVhvL5a+9rfAv5AusNERlrbK1nnbsRCSpUXqDHVleNvrYLbEQ4x5Kxga
XMYaZlogAVQ3ee+0LCBppsamJXWDgUwZNewMRQayGKu7YjpVkP2fCznjMennip5pS4Q5GVHDdSYq
iG4Jq6ox5AWtSn2+OdFccM/CeOYZtlOiazNGmY9N/Hnu5vbeTkqNqVl8Rw4W9lJvWB2qKhXVsk44
R1WvoxS8t2LnmpppBs6qh/qEb8sy0wR3fRzd9ZOVp6EmRvVZvBlen1Vdvbk13WbY7mQMiV69G9cF
qxveQ16Sx+BpA0uaFXOZ1IW/492a2FCK+mRx0ZC41chDSVgf5WvHxBkFPIFjbpFqLyvhhjX1lM30
2TaUkLDSXqoEKf4KQbzZzpsiFC+aGHKCa+Px1pUQEeKSXBomoiKv2sWbQ6tKfyCIIkFT2s4z7FRM
x6egk64ax/Gq2npIj4Zee5YRPLTsmatpV5xzbOfquVqkF8+FLorltLbaZevMuxdONmN0qTjkJK+C
QWTL4zFwemLXrdJnHNe6fqfLYWpP+VSEcDI0Ktj37RbQXazrRiRD8Lx434iyKxK5llhCkuRoUYLd
FzLpZLYW0sxpHXWKSdBFlZWBoPdUzNalk5sWn47FQLJC8xBfQvgel9NGYX/OQounA+EWn/aINLkr
HeQSpBDry6pzbXsWtKjRSTUNVCUd82V91TO5yHRrce8OriH2ZIyqOcpcuYg8tDQuzunUr/5kqBXE
rrgrZHHejT6MJNGOoJBAZGibQxQJY2/XBtLtYVxDe2UoITKNxopvbSIWp4bzDnUhPi1UXIXE8VZW
byBICXvGVtdBmoOW5XJeHoq0idZ2bl9XIrD6AwYM9y9K70LWiUFXSTUWGrZ2VszX9RjHtzUkdyyZ
ghtkZuFzWNZPOmynuFRyvqgitpmDKrhkyRZJdyLJNIpkU1N0odvmNq6jAjJyPJTXVTNATGTF8D6i
a1wlBm3XtS1v6nlEPpt0Y8F54sWQZKNznTerGKpMF368IK6FMNVVUfF505DrnWFZw84ISgxzlThT
hftQTpSe2QWXkLCi2Z6P4+xfejyK1IuSQvznoT2b6RixZGHmxpcWuKmLbXNRroBYyFoKPWaFClyk
ZVTOH6xU3kD2rpCAKDS1MgmwFTan2k6lSO0cyje2pCXYQ201T4wu8fMgqCFXMermMoOnkU5YN6Mo
G+s+7pK+rVacugmt+Vp28uMI1K8P60jsa4sZ7Jiaepju2kh0Z5E1UWqELC7lYKxPXbthkZiSTybb
Wk6fc1PSm1H3LNdD3Z7VJKDtA8WgDrGI6QL80r0CzcenLC4RPN9L3B+WzZ4NqFvvSovKNyFo9zaM
patzXGNyPlMsz3wXB5x6hc1t2cxySJupVSiVPUZttsx8QFk31pF5Fns/Ai9R1cYnEXzYm7Fs4gsl
ttAma9NDbalTxTJmA2z2MzsVYswc19WUbLpGc7Z4VQBjj7E4PG4mflUWu++HMOmy+qOf+9eP/4D8
Ff7+3l385y8f2sH//Onqzz7y/q6HwuVft/2zRflQLPyrX7krP35pKn+nNvnDi18VLr9qY/xZr38o
7GH8w7LlV82Tv+7/UrCM5VOGsaScUwbFjFjEf1Us1VMcQ19MIR4jBQwNrYM/K5byKZJS8FhAL/Oh
0PnPiqV4KgU0cWIlCZQbRQyNhT+/+yvTQI32GxVLkPOoXhkRDGQB9fIYyqiP65S2WIu+0bE4rXAW
8+d2hibnX2Xb/0Duw/se1T9jomdhzSoPjlemSrYthLcVEeuXfvWXdvV/IB6s8lh8LaMmLGsnD9U0
TtPNApvH8lW5bv3nHy8fupLfVMtDeffx8tutUb4pxCGGCLO9GHAbI6hx1FAcQwy1JGF0dMXJj1/2
PRuA+R+/zILt66XsxGG1VNFEIVpOSR+Eev9j+dDZ++bH7GrRMh7RUMdBHDwe2BXGC2tfwoYHwaZG
uW7NI7mJKWnDOEB76QjjK/D0xx80KDTM8uGFs4HN7nlf+QI20tZX+gvDfNf8D4L+WWX/y2sVtDgf
v0DpbUHOUw5lWiuXcwElFZIOjSXVJW+qmlxh3/gmHe3YhYcqC8PjCeqqeTr98QfiB9V9awEPqn7k
H4NsbcNt4AcoaM9jqghUqyn+PDR0hOg4QkrfQg1XRpf9UuLm4Enfqy6JSkVa6F0fo+MHz320AlOG
djZ8ARUowlNIXD5LvuiffN93PFLtWKEHpC4qOH4Iwcp3qA89bC59/fy4pe+4wahaC0snfmio1p8Q
zBhddpFufHqc+B039NECdY6K84Nxcn6Dl5ElK2x7j2MetWOGySz1MJCRH1wfbdsBrdE8ZWLoe3nk
8ndsQCBJVsHUwAY983UahFhZAimUibMf6+c73CZ24GnjeeG1L2XeGjsWNxLKXv4NhfIrOndRFcsX
0A2j4uzHL/ueJ+24h9Qh6no7RHnXQ1322moLm9XWuejzUfLljmqsQpBMr1zlW4/bQ4Ay1pSskL5O
P7HGg8d/A+hypyzoajDjSSjyHgoo7ckC7aP5YJaAdTbqisVHvmbHJ5RBQXwZIpk754k77UTfocPW
YbMeBu2W9Thcyx1pjP08FnRtVT5AZf9VM4XqeSdF/OrHtviernassTSrwgvkODmJVn0wUEyhlyUL
/fi24apZf6Kq73iUfPj9I+KrFBTRlRxUPhkWzqJ2Q8/jEk8m+fFHfE88/Vp8X+gA28lN5F6OUGJB
9cpuoSQ5HI4Tv6MPP0vY2MMMVT4bsIAzUNFhPoKq03Hid+ThNe2CCbXKmYUS6sEEtUaJRUFvR75g
h+cmjjgUz0H7MW7H7mzADx2vqZbbcn3UFzxkyY/NK0mgFkcrdMVtpWHXbO31qssxHLd+sQOahL54
jBCX+UCZ06dug+1vUjXtgo6DmNhBbNVhFI5MMoct9MDObEtmaNV5Nv0sNj8wzzcYSexQFsq6RO0C
Jh4LmAXI6hIKoNdttM3ivIS2VnNYSxK6d6ZV9L3vyqX7CZN/L+cRO+CZtSxkvy1AhUaZ4byKbCEh
s29iSOuUW2rmks7V25zqSgztSbNupcwEtAr6lzNywh+p4B1AQyEiqRqoerUy8hnVi8yVNPQn/oEf
kPIt9ZKv/Y/PbtUjGWNoiG9Tf9hwMbsDL6ACfzrAGEp4Xtq2/zxEbGlP2aY6/myllHRXRCpVv1MN
4fwnS/kOE4kdllVX86FfNMsHWViaii3+NMCIxngcj+4nVMxEBQ5rLfMpGpYcGoDMJCVV5cejcMx3
OPZ4EqquS5aXw6puOUS3ZxZF7XE0yh/A8SgIjLTs6gjGLnJuYCeTeqxaqD/rKdifeNl3UMZ3PGE1
lDkJNK5yF5aCnCkYBEEf1gED4iqYLOmTTvuhTcgmhvJ+aDdLjjML3/EHXToDTjSJXKii9VBhJNBF
D55Bs+w4w+z4Y2MbjLaISR78yPFBBKiPbaKPsuOk70hCFFBxq8d1yy2MouRbJ+tETEP9Ew76DiT4
DvsCoypaIVXNa6LblMBMTlaEnhzpVDvow66nV1j3W05g35igCr/tSvazRPJ7S9+hGYuhY6spt7yE
nvyVDx2C8DxWuD7Sb3aBuaphRodOYYNRszY+g9ZOkxUwIZUfZVa2QzMdoNzoGpDuCugBLVTaxMJw
y3FrZzs0q45sapZg1siRKm2ohymuBorYx619B+UaRRNaCrvlIzS4T2zclenM2XbyY+kPsPlGvGA7
vHYFr7YNR0u+RPwTbDub+YS5Zuhyt0AL9cfv+I7vsB1k6Sznrm6KJacA3JvY9fUBs745bjv+MBT5
mEtdB6nQsokl7+HAxZmKuc/q0B1JNw9jn4+lY9eaAqryPi+tYRfatPJqWM2RS98hFgJ10TSYunzs
6wKnE4cWrISxnCo7TvE70PKitE20QZln6PR63kCP6dIXhTkSVDvIQn00mrGvHYyRlYt9SRekzHM+
KVEd5zd0h9oG63ksZ7JCSui3tBn4bYhD9xPH/45T0h1oeR01TKliPoymwgm1niTQovJHLn0HWjrU
jBT1w1RMF91OBPK7Ll6L48xKd5hthm2KImiqfVk6I9Dg47M4dul7tHJVeFXh+RAvUDQmD9Lt8YrZ
oRUaakNhLEhf67iC7lDjEyFIfaTad2itGFfQTUUgnZFPo2bmpNTlkZUtukNrAycNlS5BeLz5Njcy
nmDnJdbjcoOHJspjolkdlYUJDUw9uGJJVjyTBA+FOy5E0R1W22ogXU+RP3Tzw2BupT/5esPHaZ3s
cGq3yQ19tfhD21QsEYzfRrMlRwrf4RQVfKKhitxBjqjL7KrvrIcpw6MIkuxgOtp4rSET9odaQBdZ
1NCt9hORR0rf4VTSOip1FMPSY4+vLLRHrgtZmuNaVGSH09Uz0jGQnG8YzrnCdJUSPItcpOxxPkN2
UCXjGrd+KOc8sBamoiMKI6vDQtz9cbrfYRXrgsC4QguRtbDmPK4tzmxTh8Nx0snXcPJTMdAycJ+7
mL7HNXlhGX1xnOg9Um2o2xAil+sqegb0eBuIPLJ8R3Y4jbVuJe6ky+ulUpmv+Ku+KfrjDIp3OO0a
G02x8j6PtINZvlpeShikOs7Z8Q6n0BZeBrvCaYrOrB9heP4t4e3FUQrHO5QqvZQRxOvwMJNvXbIR
W4kkWFoeR714h9O55L5q2ORyOIyL3jEHPADzPRs+LtPAO6D60RA4QtL7HOb9t6xf5YdKD8WRat+B
tFB6lLOefM7DFFI4DQNLb37WeX0Q8o3NwcPwwOOYFHcwWzpErcvhfFJ8pWyJr0xUDG+PM+sOosQR
BxNSGtyxgpF62i7vpNJHmnSHUTg2EtdF1fh84g8jcWq9NaO6Pm7dO4yyBc7taAqyo9q+Yj5ccWav
jhKNdgjtl6IoHS3dASYYozSqi0u9oSPrA2iHUIyHQW4RiQ5w0vN5G+StmoI5jlrQDqJRBXn61INO
TNW96Mv+pGir45gc7dDJhiXQFWrqh36bT6eFXDB+XARFO2AOgTvRD7C3Ey2MqvZr3k3FcW1WtIOl
Nm6tvIdFD+3rbfZpLd8c5yE7SJq4hqNzDRiRVc2HaY1fqE0cx1Noh0c/zs0aFgGH72yNX23Bkbz2
MGx+3MJ3iIRJzbWDU1EutxGMEpCuOY2L+N1xsneIbIy2XGIUHbiG7DZC4g7GdY8LbPDfMnxNguDY
42gQhORKizXhlkUZHJqcjwIOezjt/philZ2lY3yODqN4OcG4N1Sxj9EJi3eIrMpqZGMVXO4VDHMs
1MLZtVG8Ok74DpML9N9D6Ap7wNVwuhjo7Y+0dkd5CtvPdE3eoyYyIFwZfk39cK9ZmI7Uyg6XMeMB
jSq2h6ml1xxkr34+VvYOmnjRktIVQ9mYUHTpVVmfj2wVR2plh87KstlAPguOwjcYikX1ayOqoxIs
Fu+wucaeLU0MyF9pcHWKWCH6jEAGpI+iFhbvADosMKsLvRqXl2y4g1Hbt9B8eH2UK+6HtWY4Dz0J
CnrxvuQZnN/VCVVEHpVHQEHoa3hO1SyhHr3Cwtf12vfofIXjU8f5otohtG4lYrKiNlcNvTIwcHiA
M3XkOI2rHUJ9OcHMpZ9djgbzgkUmrafqqCSF7aerJh51oaStzQnhJF1gjj2FU7GfjzPnDqABOgoW
TlJbGDAQt6Vdz7XkL48TvcPnOrmiUSSa8oDNkphejiddWx83GcH2g1U9HNqLZxjfyaGFtGXdBmc8
KZz7OG7pO4D6gdimwsuU9zD+YhLrYSQ+mlG4OU78Dp4LHNyFA6MeLDqHjxYyuNWqD0eJ3g84OQg8
1SB6m8MZipt1GM5Q2x7nh/vZprlQjagNm/JtHqvDvJQki0x3f9y6d+DUG4OR+rWBczEVTK7/D2dX
1iQnzmx/EREgCQGvUFV09Wa328vYL4TtGQshiUUsQvz6e2qexnzj8Q1eZ6FooUxlps7C/LMBu/G/
H30rL/+3q2J7FJMLMA9e+sSC97LEc24T3jwNvAcfqiGzL/77R27x8m8/sqttY9WurepiMMEl/aJr
9ino1ftjj96F6ArE441PYBH/y3i3jDbKo4Udu6pjyS5KBaljaSnBi7Pok1mCFnzU/uOxNyc/Z/N6
hbSABSOzjIlk7rzR2TOQC3StTsd+YBenrBYinVONLbkGL9KQ9+Ce/gYF/asPuotRLWPw1yY8uvLZ
yxTKNxXlh66h2B6zpFNfmWHxtqSVIWWQkuklEk4eQvqyPV6TJEsYLxI7sQo3n3tIHlB2EDDG9ngo
s1bBtI4QPGiXPsxvhNPBiWPTYbAeft4uk2UQG8iw5EiPD4snDzpej8XQHgWVOaHnZhC2TCrR5snm
HzILwtShXbhHOmXYJeFKlC2jbnlLo+HRhtPB995Fp5W4neAuGMqRp59kZF+0Gg41cexvSZp/YGKq
lRkl+saWHCuTZwCh54M36bF8uEcjTbQZAlCnBtzb1ENhiXqZg+xYCbqHIoUh+qw2DodSSArWv8Og
4jyHAT+2MHsoUtNkQKU1HnGTeVOkkBp5p2W4HfuieyjS0sS8AtZuKLfMkiIa2TNO0mO352wPQ5oD
SNLEa4ft0mUsBO8u9Wqs8zRb1G8O01+kxT3eCPDcMBNri7UXNdiRLYZnZVWx4dg9AoOu0k/9uVfz
nFpT9WUajGooFtebH3MGAaNjsRrf/q5/7PrIkJC5LOhLW/vxZEC3zbFC8eVQJtgDjpJkXdNwCfty
1pwUIQeunKL7Pfjuu+N00kDgjbTty5ElYsqjjaivyq9g9x57+91pukrLrVuxNl0NCSE5mQ+rjo6d
efH+OCWdMwFUPUrbpv2dH8Px4nRX3x168z3eaKEL9T3UjsqmirdPYVeJO2hL9urYwuwBRxR5MgZN
sy9B8h3GSzKnlOVx1fHh4A/sql9cxqmu7ResPB3d1dr0Qz3oY7N5toccJcoQYIxtXyZsepVifHFq
ej227rtoFZV3VGsxlEmbfWk7F+U1BNgOLsouVAeMzNNght4YtU36JcGlwt2szHJwy+xO1ikMVr/R
uCsRqVnOAX2BOkOQnI8tDPk5zVgf4I5e4+kQfpnzOOrvIQ7ym1BKbjHzL70G28XpIMG171PSlQtX
AlIJpm2QbBK5qkKYTKg703v3OptRX+kIfZVyghhC/B4Ut2R4i/nfaF+zxPA7hXvJ7q5RkBfIE0iK
Vc9iHSBnlG8Q3bIf3ECCuQj90KqvXV1D4gFKLZKcohiz9nPSz+t80hGmZAXHLfV6nSHu1pQkWWt2
rTrITYGCjWnCHwGQvf4S0WZMTjRZ8Uyn5bRdxJDVI9h2ZJsvhpB1O4HaTtsva8JY9XaCVEHzbYzi
YShT6FstpV3x9576aYvP4CHHadEmJFIF94mY70TUieyRpy14YeGwkVeSZhC0I9xCTwVaUCW0nFJ/
cUYv7LRYJuLzkjiGEbauoVskdG861LNZ5ovUSprkppM2enBt1WRXTaOJlRtW2xUxVct12wLzbEEQ
Z1B2WJYNAg622l511HTJsSqE7RKmWdnM1Uy7ksc1FG5MkBNBs2OhtUd6UVZ5FJK6L2tu/qqYeq0S
eey99zivBTcxqyZ473iuyjHT91UcHRsO0l2WvCkZ+QgTpBKajWteBRBDyXTUHVyTXfdhQ0G5wqVd
KUjTgAg//OCNPVb00V2ebEBvXdok7MrZz/0zCFryrqOTOZbK6C5R1lyG0EHgYymsYo/Qs2uA/J+n
z4dSGd0lSmvEAl3IpSsVBEM+2nTYMMxv0+ngsu8y5dDKCTSRrCszDJXzmDSP9SaOkb/YHuQVIoRj
SCR1pe/6ypy60DXlOoTyYJezh3lFrYygwocdyYWJ1zMZW0ixJUGshtOhxd9DvSYzuCqop67ERdUP
17P7OICe3LFnpz+fUf3s7DL4pCvrMAOObBqTVRc0a8iPY8/fhesSDxADmUlf6iHb0jzpBoo79pSQ
Y1gMRnYR6/pWR5ChRIEAaVdo37nmLKU8WCDs8V594qpmEzjCcUcD1ck54kUfuLA8tji7mHUhqNKx
bDsQXbW+53SJp5wPlh/D9zOyi9qxaQWATB3ScDsn93VLwy/oaf2xUTDZBW2ymmEzI+pVjLLWa8Wq
uUzCKTm46Xf1DYFyViZvp1MjjShGN4h8hkTPsYSzh3xFNlrnFX1yGfiW/lUDbf7XZmZzDPnJ9qCv
mNC2qRvVlzH0qYKrytqoCCvn4t/cHf6CV8f2wC/QTauK67QtNx1R+75XcumKKmlJf3JjF7wH4ew5
CDLdnFDFqawQGZrRSx3EcXfs6+/xYeDp8nBuUH86P9RpEUDHDnoQddvrY230HiDGQ7qhZ7llpmqK
qgcjBXhnfvBTeCz17SFiWzhbMF5JW0LzW6p8dVBKyhvFloMFVrQLbz5uxrYEP+BnyFvW2/wJ6P3v
h1LHHiWmJwNhnnlry962Y7EK+mOb4qMvvotsMWzROKrElKhtL5qoe0LG3/Qtt7/9X9qWvymU/xi9
mCAIhYOCSDkx6ESrgOGqwW3vji3Krlyeam1F5JYWkng2Pc81gSB2LA8elXucmEtgqtLii5bSrsE3
0zj63QY4bg69+x4oNjas7VgbmRK11nOybA96EMduMfY4MbHinpHbDjrTK6nvoe+X5jCIcccOsT1U
zCkuUwiOm5KqtBN5AxW9+zqZ2/pYmO4BYyxbO8rb0JRJ3DbFkKV3ikX+2Dmwh4zZvhWiymRbZqx2
j6M1rID+5fLy39/0Vtn/y2YPd+dv5pRfHKQBS72xASV/OIrsrMOo684cXV17qMaie+wO1D+qqp+s
LjebfEOj/gTtuE///Rf8e7jSm5TUPyelbAlxNQg6FhiCXdXkwzgvfzk6HJMeoNlugSRq5bauoE2e
9WmF6c6YXg2P50MhRW8uGv98+Y4087pZvHwlavT4EelzSEocSweQqv756RnfEh+PGHZEboogvidx
+Vs0bdssxzrdPTQw9Rzq55B+LUMohvc5vkNzy5hh1p2OfFwW7v4CE0iIrGcSKScmr/MUvhNRdWjp
WbjLxNAMmdLQ4t0xNI1P0uKGZpuj9lDUwrPm56VvkWMCBbDnOUps9W7xQf/a1vExkhrE0n5+upZt
NIdk1LejNX3pDY1LCA6nhxad7iGCPYZGYWVuW77GsKkb0peACXlwYXbN0Oyn1s9eagA/oMxVgFM6
fN501i0Hn7/7rOniqh6VrS4jiE9CJjcM33bg8707sh9xJ/LzwnsuMeFyEGUVkVi7+yaMwmdC+nj+
TUD9PWn533xM98AyzijkifmMbMbn2LwZoqid76RaBntBIzaTC7T0+HgaYr12j4FHV/DYJ81gPpOI
sssMs41rwiDfm2dbNUNdAaYP6o1p45UUZhi8LDZRV9u3rvJyvrQ9ztxijpv1OzWMPSx9M917WS8X
aLk7PAIaGHUeGsm293UEfsuLuulUvG9l2kPack7Yhn9rXVGHQH4+N30dbCf816N8oqTqlkOFJN0D
4oBrHMiNkAzx6ah5hux19kgkEccOWLqHxHWBijtMR1VJ1vAvToaXLBJvj22X26n7j1ISvaaH2KZT
Jd2As9WEXUkHFdz/fvgtYv5tq+wOvnkOjNjGVZVDD62Oqx037U6ZB+rh5NAhiCvPuK4///eP3R76
bz+2OwajIYs5W2JVwsWAn5ly+rL1Wnw49nTy8zrVvprRI1JVLh2rT0G1fZoa8rt1ui32v7367gyJ
QiFnZWdVcj3LV6Cq2Zu0FuvXtYmC30w2f/UTu6QTVlkCleRBnceVKn6qp8FCyn2xGLZfpQOj7TdN
9S8++R41B3gCxPW5Fmf4OSp1meM1Ajos0GdptpQUQHQfmyrB6ufnLyJqzE4qq7FoLQkAdOOfkIgO
1lTJbuIWQHAEg4BWlRGu4ybqLtCU/02C/sWX2IPoEgos5wYO7kmJIZmumR7jS5dC3fnMxaLDQ+iC
v12a/hnXMZ7NpUwCyHRASBBcd/FHNiTHqK10LwU2+myQ0tumTJJ4ugBzneYQYD/WrNA9kG6RGEXS
OapLCZOpS794c0ozeaiPg13Vz9sm5H2kdaKrU7TI+7CiOev4wTXfhbGnoR7hg1Cdto2dq2y4GEkO
9Yf07wvMf6RpDyE0OWaqOilJHpI4eBj4sSke3WPoACu8CeFKeDtBwv++gT1JGcT09VDa3EPooIhd
L54G2OyRGM99b+GUk2l2Ofb0XZTe7GuqOAxkmcixfwDq9dMg/DFxWLrH0AmeiGAhsyy1h3PQnE3t
XTjoY1BUOC/8vA0DD7V6ZqwsZdNAILpOH4PEjudj67I7d9cmHOaRdtlpMkyuF0Lch94qdWyoCKOH
n9+97m5y+KzNTu0yPCvdlY3tjh3ieyidr2GCZgQKKT3BsK2d27CABcBvMu8vKoQ9km4BOn8Dww9B
NC5dDtRY0XMoCh9b890Bu0GkZ1ymXoK1ZHzRir6DXYlts2OANAhS/7zomfHgXKg4A9Gq2wgcaSr7
0K1KHuNB0j2abuZt1SYDzU7GbbizfQEK4Dcr8/eo9l/Kmz2WjvEtgjiVqMvIB3R5CKWJQTAS0PJ8
D6WkrpQxzFjyZFhMfOaYrrlimFS8QCGz5/4yzFk4nGFHJMhXk8RkKauUyuTQBJ7uFX50NlHot8fj
WSarvcTVBE3hQB27V/vb9vCfpzB1hG5aTeOZOlMDZTG9B6Vy/c26/mI77wGEazBEkAyZbp2encRV
wl5xPtejGtvToS29RxC2Uk48jerktNqaI7f6Zm6LGs7d9FjbtIcQ2knN21L183nu6h42Gsyd+owd
GpLTPYIQ1WZMe2rmc3STLHPxAJI5Sw5Bw2H7+3M09snCxmrCw5cZstN6ZEPeaXIMnkjjXSHB6hlE
/rmFqUgT9QVVcITCfO/bsa+6S1SdSuHdSqvpvJDa5GkQgHu2svDYkbzHDwrAZEMW0OncARSUd8qK
Z53Q6eOhd9/DB5nrexrxYToHGS5smNrEGQ6VxxaG7aoJaV3U4Q55OkNek7xtzaq+8RCuTcde/dYw
/aOC2+LaDRPs4s5ty3UB0W2I2bDqmGAL3Yt9zW6AZFbix7NPog3mH8oWiTpYq7DdZo/VzAM64NU3
A7kWN/kfoa2PcQnpHoIXbL0ZKk3hbwr2zClzcAtCUjt2eU/32K8NNIhKLiiskp58Gw19NTU5Rq+G
A/vPX7Q2mD12PZvPMrRhvvakOlcVYHT/vV9+0Sbu0V86UgNRHU0vvNLx8raejTQXz4m2F2Z7nIL/
/TO/OET2SLBqofCvavBHwNk8OC0kFkW7zseQYHSv99XXVTJNHE8XopWnFDCwAv5ofx579V0JrRrE
FPCM9tyvvS+kGZrTaKpjp8ceCZb1LJxMHNvzoublYuqU5BAw3o4dH3skGDyP4LYHS+DzVG/6Eo3q
wxY18cFPugvXrTZs6zDrOfdpnRRGr00BSOox2D9u9X/e9W3ikylJq/4cmMAWzda3sMj1x5SbwID+
+ekVY9pGDe/PchrqYouNLlIo1x8raPYYsDnyGDlbkV6apt3eb7CK/tiE7e+k5H8RSmQ3kKqoc9EM
sPIZjnrgo9xO7Z5Ev5sR/urpu9MJDjcYV/ssu7AAo/Ml+N7p9v2hQNqjvxQstSv4ZyQX6HxV8Gve
gE6c6nX849jjd3Ea6Y52W2izS9ybFgDcZuX1I490mx6L1b3cVz+mM0rhPrtkY5Q3GbnX8P089u67
VhdCXHAAJHi0YTj+bniI9hggEU5lP291+DPAdC0Zsst2kz5SLmIw3oTb47EX34UpfIvrafMdfMpg
hNra/m3Ij6kJ0j3sK4wBKqLGsBMH/KFpg0fWypdDb/0/kC/ICNWWtrDJ47OJStZr8K5rZ+YPx56/
C9G2j4ZGz11yYV20QkKdjez+RtX7nZ7gLRj/pdPd47lkoHoGj0p+MX0w3k3VssBTPgmFOIOnmlRX
YTZXP01b9f9orv/u9/7tR3eVZQJ37nZpBo3eb3XtWkRaatKflULU6UtdrUrnQ2dgV5O3dMDZvjbe
tsm10z2vzQWNdaPgGbqpxV/rygfVV0odYHdtCEirymnjYc+Yo8jph0fFo7R/WsbKRfy6BiyBkbvd
tAhkHtJMUpHbKelRCHUcny6Ps6ETX3tbmznKmUpgN0o3Bbnnk0dDn4iTHxZnC+Vps75CQg72rnms
YPEDmW8v17HNo2wOOMszD2l4dRf1ikP63mBmORn47Vo94wXHpGs/9MSgG2iSJv1heoN/bOeBLScO
uC9sVbFCCsbDjshy8/MK1yUV0rH92mFom8w5zCnDCD66KRf151YylX03YobRD4icW2dNDrWvxv9x
A+nd9Zvxa95CNGosnJNjpE4JiJPVecOVDTkHpFphR5pip2XFwp2PzYksWxw+wGqYZxcZz5sBL2zo
/B1cAtoi4f3Cn5pwlukplNTRok74gCosNekpNRDAzddB8KEFfhOu0eI0ZWiakwITklV0eLOhtUme
Eg7jumGRZcUSlI3IJdzM9/haXQ179BSVXZ5FAbxBZ9OSL8Nk+MnBHjz5PsvN00tvu1g9b5ak/GM9
kCR5plNF6eNW1SmsdfUGjgq7ZG6OoIiw8WTWT2BopPhevZQ9Xk6E8MWEozpUjVGNmbDb1B2sAFf3
bUiN7ETRLRgGXxMwkLL30Zqsoy90y+AkJtLgJgOpZ926ACyWDaAtKOgk8zKfPb5l111JjEEauXLV
pnWuuMouXNVt0fHVGYuRhA/G5VZZLuNDOI/q7Cxy1DPvxNy8X1ci2hTboSPzpaHxuBadqBmBSmzt
9Ql9TZ1+Tifadg/ZumEIVMfhvNrc9ROG+XmWxglBBTVNlNIiiyltXiKVWn6BwIpaH1riIky1wwna
ahuumadFgLsV+pFPQHJyiKyFev5GdADOjF0S1r8msYnSU12NcfMNvU8K00NAprrlNDZxNz6rORT8
PeBZg7k0Hs67p6wLu/h+iwOiHqMaFuB/ylZ3MBNlNujY84Cgrc9tX3ty7U3UDJ/qAH6FcJBkSvA4
TwzL+udwmlT0jTUV7B3hWZ0ZUcJ0dYnvQytZB/te7uMCmvch2OjC0SiDtHPM9fdqckLBlnFQ6bcY
ptf9J7DLN1i6SomzCzyPzj8B1Tem+J+7gH3vGthyXw3pvX+vtjCKir5GJH1vGLb5nVBke56yUFxC
MqTwjLdzws9hKvv63aDqdXvrQPAgAW6ioRuQwmIXQQNLy6ltfyjc3NQPDR+oL7uu0VU5kCyyD/OQ
JaRoGGXkc8oJy/6MnKqeQSEP7nGNtH0HtcXkjYvFSUAgKDitckvdPTwklu0O4kH0D51Jlp16Dabj
S+Jr3T5HopLR1cGy1Z/hL9qsd5m3IS8TvqrwU8grVb2rh0z0BbwdA2giNiFsNPPMcBj5LdsY26cx
3KbwSnve6w8w7qi6N3OcJfUlrFWXnKYVjp8qd3Fq6wvw05F9GrKFf9fQBGiLCnM396ZeQ3tzNu5W
d+ZxN1lxCnFbtTyoBgLHl0rMPeg1QbKI93U6Zuxq+r7n+VQFln+r66zpC9GOamrytI2qEN5DjK7X
UZtxOk2OwJNzGlsS5TDbdv1nOmV4g1McighyhiveQgZitHmzBmN7bm+SPPCYRvp+HhyIaee4t+4L
zFkdh72agKd5ASsI/oRySfxVIYSTotE1MQU3Lu4++QH+jBA4MgaSZzlV2yavbgJL9r2HP52t4Lg6
JSvy/da7rsubCce0yzHxXsbvbl5o/BEWHBYHgoJaTfZO4ym3D9lPsz3DxBE3nefWERPn4H62camz
KFPnZRFU+1xEU7o9uHUUmFqscJbK7sLKo0YEk62uryNc1oJ8s1IGr7BWt+RUMz4HpzFcouyU+G1r
Ptpwo83dMm0uK2fYw1enwZHKP1KYd70No7GRr5giE69yqfWUXaAaL6b7TKGDefaYK6UXpiTOu6mq
4gE4b1avj0bApLnoNhtNBettEoC3YOHA6sCe28bo3RQqAzJGy6bprVzDhNx1uDJunjso3ckhXzyD
gQ50xfMBtt3RNaLZOL2JxyFovxK5pvqRazpij7W10fWfVMOHvMkNJNvGcydSuVzwl63NOTaKjR84
fKqr+1HIhl5BouX6abYEnltnpCPNT7BKotVfG6SSoWk+1k18N3ZSCGCbwcDCHkmho3RfN5Pv72DF
SoEZJsAQh+exh+thvky+Ja/4zfTjEtXT+kVDNB6c9IzU8K0fIL8oigD5qSrWql9fG/iA07s068F1
idsWYFWz2DQofD9PsJSznVtBIFmSqMCFQlrDP5fH8ZvVeSHvgpYw3BzJSgXze2O2rr0HdLfeUBW1
2/odp8bYKmikhmH0crupoWFB6yHZnrYwY2ZEJt58dU0bfHoIzcIZ3j86JOThDdwvRnsNpzqb7taJ
Z/Ht5F5raAIILOM45nB+12kIvTqxzaIYpPP+hWarznIYmaX8kjA4xGI2R11j34RTlA5fNzv2rMn1
BD/wq2c0XJ8Zdn/9RzOusKDBH0m76o3COMy9S+FZ3t5vpLHrqaVzPN3h/A96gcUlZoGtbZI4geJp
6jZ8TCuWy+JUYD4kkZ/M2wVrttzDV3yO3jSLrGXBmrob/1j7hMSfDUl8CstaeBC3PVaKavFnC83U
8C1U61n2tYPyivoy6EER9FcQRKSFaUiT3JlkGj3qtzpMeZcPwexxFOoVxweqPUjG8iBeYJgMkYbO
AzaaBN+gKu9ZEeJQb67bPKj3yYz9fVah07yQ64b7F5O07FNMgIsoqE+rpkAvyhI4InbJXBKdxHzJ
6Rqa4bmvhxqU4wjynZc+a3T3RE3vAp1zMLC+NnBvXy9xJNnyJmpDC/1d3LNm71nauvqywM7bvh1I
Tf9IR7i8nEZWYRSQymDiz77tq+QS2saRN7h/ou07rZJxe4iaduiQMBliA7B4ANXSUkFE1T5VRmdw
Ek8ZE289kC9BsXJplnfj5gYQosF7Ja6AjGGliiSLZP9GjZgx5bURejhTD16tvoCiFsFFmrbtyYYV
wZeQtY6e2NzfnFz5eCt+UqB9a1Fk6RKTk5mHMJrhSL76T02qoZqUbwasxfc9yG30oxh592jbGRVX
UYsmKKIGqnC+QHZf8sRxOn0iM2QP7gR3Pc77ZA1RplMQePsp95QF01XiFcKXuWunpCAx/IuVr+cW
ttQI9c9xaN1yIYnSEZxJLCTPIiZpeqIaONJ8pNF2yXAYuSm3cdWMzzOgU1lbGG4S/ajGyr9J/c0A
dbMbfRjTVIXnFA42K45RlBwnuzGkfaeXQFwVb+Pp/ayraHnX2jkqcNEwkC9eV24pKlezO5RrcM1U
YNF0uHXL7drUdzXsuouWgVeNw5YW2zZlfd7BDImf4EBN7gTqgU/OJPRBQEoJFuJZM4xFHREuoNna
k7zrWMPvUyf8nwzsn+aJIHRMuTXjlj0NAbFvQweJV7RAdHoUPCUbaqeI2bdL0ANJPq1JwUEjf8Kl
CMjaMC+lUCMHDfnJ25R86Fwgzoo0XOXGrNPDonT2Rjgo6J8UtnERr7MrSF3JO8ZY9ggPb38volV/
8WJpXjOqbSFD/qJjaz7ETdZmuQj7EbCTWSs15GsoMzfmAtWuv3i4x/k7vhDxkUdrfz81Ps1O2M68
MNu8rZfWNvG9B3yRfXBBmrwK7YBaOJGpTYK7yiSL03mFnZuCJu/r8E85VX76EMec+3yRZk0B5YwW
50/ypgdw1X7dIJuS2sj3cNYdhpGgj5G0a06CL1Fwv0QMbGzQSl14b+uoyp7HYB2nywKef/hx45rw
IvNsmR5m1sfiCypXM5zjiQTkrpe9ZI/NumiYvYp20bmLept+pLPuwzcDnWl/hkyDbyFJMPL62gVL
pj8HNbyEmyL2MpancGzqKZ9jiVI0m+ZEFlajRnF5RQNKde5jP8vvaxrT4XFZu2X7BlMqh3KontIY
u1sjtuI+b0AYas5Q0alIaVMtm5c1Qu9/7lpGzWVKkHdO6GhEch1u8LvzkBhC34BU08QPwM/S6BRl
a5xdI9Cm1h8S/ADzZh5hZB8WPhNLfT8OI4X5OgRFUtwxbg3R/gWtcULQBQOyuT2Mox6RF+o2cdFT
bxCSrwrNqvusYpVdWYd7Jjoal3yORqqCLwa3lGiT1y6GCSKG0HWB3YFiKa/mBdl9tPN6Woyw6ScO
Tv/0MXXI7X+M45CR5hQnQ4DzqmrjYHnlbmtWkQeEJDSfpsqaIqtg/f48bunqfzDQ/fWfVoLNdk4b
OAm+87peMwgOxJ19C4/nWK3ndoG6a5nJgHRvOaIMGTGkdkiRnuo1wbCwbkFrvmtoWLs7qmoFA3a2
WZQAueacC8jAd+g/UPE1Q+GX/laLwMZlci/NZK1wZaaEsh/1GHTLpWuCKbuOYzbH+GJb5uxpIHpd
vqgsBheJ1yobv0xODculF6EJikzN0YMcRMWLAbfJ06NvGibwSRIJMuCIKXth+2VAUTpwyMl8nDeo
5IIgPVSPnSBD6ao1fTdQ4idUB/G29W+81jq3sOvMQQoTM4W/WNp0F+/S2BcCDqfzdaMjGrQ6m5N8
nFwX9Pk0T258SSKX1D8WWJuk502FYX3i7nau5mKEx8RdhTL7UUKaC7uORobeVw0sUx964btPWYpF
ONFpYpHOQwncwMdRb02AKtWHQblu2Ncl6oAouZ9wBDRfnaOyRAsQZZ87SJwndRFnIpTv+iWua0hC
R4bLOccmi2mRIqt6dHMBiHNbUkfyOW1cuBUWAf9BRbE560ryFqFWzfddiAnGE+YVNH6btitX926x
2TdMYv5A6TERDksVDgh4B48Y8q4lovoCPYtGnoRBUpSNVU/TFKIy2yAw4q46Seui3zwMR4D/D+9k
Yql+GiY66idbzePD3Pdd8xUG0dNfwaDG8bTOAT4jW5OPama3yx2V4mxfmfvIUUtMJ7ENqNWBa5rW
XLvEXEBWznje9E6gNsBV5QKzu3TFvBaZcMR8Z2qeHegIcGBMb5MeEL/tR4ViLCcxEOhXjNKz8ZEO
6RC8pQlAfAAFJa1YrgsXYtL4KLMPRzC6q0ae15CmTXJuUi5fxABv+HMEmsPwY12IWoqgxuTqC7Qa
YFBr43Rk57YmnmBrSvJqJfqR0rfNmJMGCbTPl9nCxU6Quf6exmYkH6mb66XwZozQ7SRML2veLKkO
PksZVd/SW2lyl65gmX/wvP9rUnpiKHezIUIxa/6Pui9rktTI0v0rbXoeNM7i29h0PwCxZ+RWmVmZ
9YLlVuCAg4MDDvz6+4Vad7pVNlLPyO7LNclkVspKgmBxP+fbTlSNe4mZICKRrNefLcUrGwuM7Egw
FoREm1pG4hfwrwpXXIRFbJBvmUVoZTBUfTsH3PFnk3sS/mMlMyCDntRIRrIGEQUpihLtjpS17Xtd
z6GPdS4qyuYJSW2yTIK+cOG+HKLlA61zvp76Osg+dVGvkmL+9zIFV7pwUffoZYTRTx8jM+gHWssC
yEiZ0yvZ9hXWDlIsSZD7nbvtZcYNrEbglqKc5eRWeYwBzUbpQU7UIVB0K6eeBek8rCTcTGyyU1zr
cf6CTGQ/+mp6Od15XmS/ioz7jxBQDOuuzeAW2XstGuO51vO0YZFAoO9aTuYrrnl1avwKsjZWYgA3
Mk6i9tAWUnYJNY12sfGy6hlO3TnuKFw+xkSOnfrZeLecufnM5FqIbZshemFT02XedRgrsfNNTQ4R
xiRjzWtC+1TInC43Jm/hHp4m5P3EtBuz4YsbEfH6DQEiaM7s4qLiGdBwyGM2LbgOgStLLAsy9MMW
FQeH/1iQ4bGYGYrEEFBCnqPKKKmHeFi+emkPGTzdUJEDN3EYr445Jbxf1S4wxDwhfr2s7gPRwgQ+
YwLDvcKJxKGafDMmWLaXwcU9sLHwxlQFj5LQ4HQe2zZz7bbssrJIgogb93bRuh7aptb6NHO+1viM
yrP3lR+5+ibMuUPBtqhwK4Tx2j0klNzdAYpuNlgmmmbbU1raNCim2odcDoNhN60jWESQj3HEvQAc
kRnaGrTbDqLlaVmGe+sV5ZQ0dPTro+dNet0hfmz98CjGJsU1RkOe8rWd8fpkApejcmRTyWhMum5w
x7D1UXAWqjktpqD3UC93cAgg3xE4B4Iawohnz94KOflWwCGzPAJnmidsRJb4H4Po84BjBk61Ah6w
9WiaQwOGQn0r1s7qBHcKhndRFajMsWLWk06KLjPIL0d4kTwjIk3wRDpmxsPcRp3YcYzlxmjUbGJC
xR5F7OHWyfDyEnrllOeYrtihY8LiU6XlaqU7DDBlyDho56HGawy+63PE3pkdTD+QPJ2QqE2gxNRB
5D+1ESq0dHKyLxIeTQxen4Et1ZNiiKlJCfLm1XMNQCOKdTMWxSOZV6weuecx/8i4r2miZVAHaQs0
bEraZgK0FcMENedpCRcauYlM14s7DARRU7wgBdpsxiWjbbwEa4QKRhp/ePd6TFWIKawe8g6zbCa+
Kxbj+DvDl3JfLQpUdkWtX/MkqnkV3Na5IwhNNmgKCmW1vl9g4K+2QWmJXmIKs/0EALNo1hyN+gDI
AQ/1jKIQY9OzDrOupc3ORUvUevAjMjdnaYDTxsyEDnnppug/CQ1VcR2sWQNxT0aqZj+KyQtuYbDj
DO9UH64O/E+zmC3mN7p+C7mY0QlYFTq+NU5bDwMS10EcvBpwyjOp9eUOMTQ+qd9LU8K1iAZMX4/A
D6sE/orBjjGyWPzgRFhA0VzSwWv2CjqL6c0Fi7Rpxlg27BzWa5f21JhqU4eh6NIAE2mGKu56vRRb
dIO1PGUR4tcgvqwv48EwLa1Ny0LJ+ZgNhIsEPpFc0hRJDAQvlMo0+GxQoW1+ZNMcrqhZBhPtARK0
YOs71HYxcFi/iuEsXMu0w2NQb6N59LtPrmhVe+gd/GgIMe8WISbfTaVr+LkqMGQDNlONOjFKvLqX
OxaYYJkPlS9C8YTMaD1cObT2s8EXV1EZoQaZw/aGclXPXz18G+nFhT+E7bi9pFmjIZ3EOkXX46WD
PmVeW80ovqCXRcDUkuX5zaJ9i2alH0OGFzyqgFnxBFwLRbdKrJbNu1rQXUMgt3BNPvth8joUA5yi
YWoH2G0nTKtp+6OV7ShuKBaPHKWiKNePqgAb8a0sXVttozxqPIera8IGs5hZr+4ilPt4lwPJI7o1
KI26z8JE1Il48CXSmh2PRvHgA59TGP8C/H94k300Vk/GG1vvts1B+NxNl0YViQWLqIOETx1yjWGb
M319KDR4LzwkkQm3PUfjwzaYozh2JzgAc+qSFRxSi05X9VzxlFA2iJMzYJKuUF0LdoWyKLJfmrqs
+iPPQ9cevBGz0r+FhGQkYZeabTu22hvjmgfOu2oJ0qnuvNGOCmscYugTicq42SyjFv21sgOMLpoS
Pj2sNXSBiSAWJI8K6wYRM33uDe+CWZM9hM5i8W8w36Cc1qO3Ynw3SlbkGtYHZ/JwQT2FEdeJz+dh
3C9tI8N9D5Td7eqKreQJqCKlR1WBCUwM0RAAbGA8Jb1I8WyuwLYuiJq37fogGJOQ6dKL8c6dmbFL
BK6RIh5jS3xIq7ut8nzwPawBxbPENUasiXjpZkPTvuA02g/zKNe9iWaPNIh0C9wogenlmJXWjtIv
r6jfW/tELVLVP3kejfoKha3i25oWo/ziHKiZtM5FmcOdCEHarWqamp2yvG6qL07gwpyWQFT2SEaM
1DlPONcAE82Xld6WI9f5cS57WT2i0VPZlJAR1XKXlq3QgK0jZLQpkox4mY2XIPuDLSYFD8iF3FaQ
A14ijPkLEgyJ9RMpEYCpNxpUkB0PKMB6XNiBl6a/xT7dAHiGGAdUGmo3uXwJcdlhrpK0qNZHsCfZ
vJ3wJm/luvIrNNHMOwVeJlHYMYL0uuBC44lgR0rGzK4qeUev1rqFRdcPlnZ4cWqUCK2oRkSHbIfc
zEsR+45RDo4zgOiKdFZMCQOwYb/pCZH1ty1iF2ywvUS9+sA0Zorh7qJf5VQmUjtXpYvuLxPlBsuu
aZ9FzSGCudztu8aMYZpPi2muAoucGkCkBHxru/R83CqA+H7sWd/3tuAoB5XWIpdoO01nDSqkUKvw
deaYIn/K1ryc7xHJEA3A3ousXz/Chob5m6laUh9ICKvjgQD17c6wl/fDQ41IatQ2DY3mKz/y7PJ9
6WhprpYl9ywAvjkQySpRjsTAl0dwK8paiP26ITqPRFuXDAsGhx56nEKZjmsQVAm08QyceRRdNKqT
2ErIg6/rCZOBH4mrcnvuh9Vvjhxj79bL3eYZvA5yWDAZ3vKofAPM54VpSYVnLMJa0c8ktsHTrjeo
rCtskFhIL22+6427kV4/hcnieX6Pl0V0PewShl6uoDSAq1BJ9FTeWD7VHnzpiquP8bI/fvARPnvE
G9D80LVy8WOC9a7+EvZ9MODdy6nuhtgIC6M/ICYMiuIFUSQNA+pBXhPmXXYdFHxwWyyjyEKc6kZN
n0M5m/mqXbmmX/t5ZBGal64cj8vC1/mr4NpMN5cMx3Bv9ZjFGmE3XYxqNL+A5WaesOeCwLwVyyL5
0RZwGlyDKNHIYEBtvALa6iqgVhSDKyM6vMK42okYxqLAbWZmKqB2fVfcQybhoyKaMJT5voSyEfsi
Zmwgu1FOIpNP3BAJuXZDwGdNuybru3aIFfx+UdwK6AjCBNx3P34CSMoB3gKwIcMr0IpVeTEbUL6W
McUqOwBDrFu4PWKE1KPv3M6wh2I4UDNHrHiBw3oZ+3h0GGLT7fQ0UFUmrkN+OOpQwmbqp31YQMqR
/pvtB8TzelTswFSFQ0KgCLKxJ4YuSxCUHD6G+G3vNLkiNwdZXLDfHO33bC5rZpTdtIHtN0AL1hFK
ZS/zDv+WjTOZFxvVewR1z3NKWNmO8boU9AaEVTOmLIP5+88pmH5MFmJL1Oi2sfWGyOcyemDTn5N0
/RgoROtwAl2D44bqXgC0UPRPWmh+jBNqkdYoM8X5FtskAYgkJ3K2WK3t/o/VS78TWAXK4LeSMUBh
wQBFGpgJD+9fV7RqOGnntchAtL0B4BRMJcYCcNkFt7MFdIsGq/RI0noz7tMfn8RFVfTfqY1+EJbl
oGhm5fV822KaaZ0qOEPOEA92Ceo10I/g4sThjz/p98RUP2hB+87iUYOmeItAgI5/GZY2G1OTo85N
HXYmpJMikaRGVTovzb+4wr8jsvwxnaiEPgy7SUC3TGAmx4DYmU0HrPlffKHfO/oP6jODiX6WF5JC
OaLfqt5/csJk/0Iu/nvH/kEeijK90ybP6HbB2I+46JeDGuvwTx78B4XZ4PtD046MboFBb0Ckqjjz
gTz+8W3+vTP/QR6azZMaqFRsmxPPYk+fstgvsPv/uaNfPvWfbBdBZUKog3BdglUjm3eQmDK5tl/+
+OC/84T+GE3Eel87M5d4XAougw8LTMklhC0B5gqJQJvYjFBj7+EUouZPjecLf8yzKUTuOGKE6Bbj
UOnXqOvtdekDXv3jL/TL4vrfvN0/ptnwcgkBC+XRVgtZAIGWzeJAruCfz8Uf2FOEyhv/p4n8hu2U
KR/KVT34eNLoPrNqLNCr5MUG0xk/5inE6OZ44CjJ/n52//4+/0f+2d7+/Tzs3/4Tf35vDZr9vBh+
+OPfHlqNf//z8jv/9Xd++xt/232216/60/74l37zOzjur5+bvg6vv/nDBnX5sNyNn/1y/2nHevjl
+DjDy9/8n/7wL5+/HOVhMZ9//en1Q6smRdPTq/fhp19/dPj4608+ZJMocC4+gH//50/59a9cvsZf
f3r4rF+b/LV5/Z3f/Hy1w19/Ev7PYRAwpEwxHC8gF4G++7z8hPOfg5ByVMsSakYKaOCnvzSYf1rg
8+XP0mdcShrRAP6vS8KIbcdffkR/FiFF54/eTYRoCNlP//cMf3On/nHn/tKM+rZVzWD/+hOO+Jt9
g+OsKCxageA+yBBIsn5wzagKev6wRFljyXDP/FLt9YDolzan41Z62n2WYsEkRCblHn0myOq5ttup
YOGerToELFMC/55YRKCb8B29s8wNWx/gy2Ho0dgWdTVfYzQJO4cCrBt6knY7iIx+9Ih72a4wQ3Ac
0gxvVmXEQnYZ+QRksWLPjPrF02Aae+7avu3TMRhUBtkgESc+rwIpGQ6kwJxTWe9LOKxjZFj3CQxG
3gSVinvP1NpvlkYArHPTM4MoIwHGCEYYl0OtkOvwaA8WT207eJ6qRPdRf0DMZPnYaKgCEzCxMN6C
j5KgiCPhNUkjc31TzVHUQtzmmyYtPEnPIwbnNjvIgehj05PpRRKB4TQzcIIDJBDZAxnUXMcBqaol
Vh0rrpeqd208ejPL46EI1c1Q19NT31BVbcAUktNMUF2Cub32F3/aK+Ai7y1mXX3zQhTNMehFezNU
s1ekrqlBINQ+fcpAe19BEOk9FABvnr22qSBQCPl0uAh67yaMhtn0YZ5/iAXDmpMcdSlOvIbMtMK5
j0UT01b0+xZQ2xVBhHkR4zY3b2xEw2MLEvWglEmAkxSSgxEsEJlMSv8m0DJrkoovS4pY9LyGexF1
bU4Z4Gcm2iZe/P4QQZSRTtYdW27JJhgDtCe5K+5HlC2IIsknH3ratbnSmMycJWpc3Svqi/LoFu7O
eKDGMosZcOUdQ+e5yWvO06KXKYrGNq0IaCi59mzPPa2ejG2HFAOTupPvtfW953GdaDF3NxyU267V
7QJZkwtvCglpQ42efw9ZOznhjmaHAPHDW7Rp5Fu3ruuxiPLstgXOdl5KPKjQOPG3AaOwtgT6gkPV
BsUeUdEPXecSwK+IKS3H4raqZggEZG8eDYRC23wU0avyx+UEsTaS2MO+3TJWxyGSBb4SYl50oZYY
EArA1W56snIac3jshybCnHeqvujZ7aGbuDWBn2CA95GZbc5XFyNw38Uj9MhxN5pxT5vBGJj0gorH
BoqxB7wH/GxBCt7LijLEJEDceKwLL3u2nIiHaCjbKm1BMIjdhTmEZHhGtwxOu16+BB3p9hCQ0GuC
y2fjGUxyjMR5ddAyNB7C41n0hKyy6Jpi1sve77uax4tuM/BoTn0nU222vdMNBCtzZt8AnuaXlxIy
H96gGSsHcBdoa0CLx3hOltsiUsVd1CECh5cZAQ63ivzWQGAdpMuQq/tZiMUkbin0JpRsejGqNNcK
M7eOC2noNTpMUMwunFYcqe7Sehr9exl0fC9WmOdj8ArTg5Bz8Dhq7vYgb5Y3WSv9gJm0bb8PWBm9
4flW3wuG+Y+xoD4azWYJilc/q6M66WYxNchS4fymjDrAaERDuB1CUtdtq7ZEiZ93QxNrmhU7M1bN
TVGV4cOkg/yYXQLoKm3Dq97rApykbthtoUYf+nPW+RtgEnm0G8mY3wAE9O+mPmcY1q6Gq6Ew0Ofi
EcZdzcLgybZ2uKorG24yf+32ImQKyqdaXCO5cy3iGvCQjtHXkhPLjL+XGFx1ov5UXvmiqlDCUYpo
yd7z/QePMmc3nNXeBu8vv+bVoO/AeJD7KJiRJGh8FhZHszr+mNeahMmIcuDdre0KiRixCScGxH4P
ySQbxbHsFop3/qLriuU89ZsLrrtDzdXZTaVEgQa4LvZONtek7AcPpDD1UhPOJej0wd/Pwtd3rBww
eQAv7gbwv9r1+A+Qp7X5YjH4BMndykJ1JW+mUuXnatbivYKt4ezyrNr6QbseOyDBpxyg3B79P3mr
1q46TxOdEVoIxL3QlJ8gbMI9DHJ2hQyYKgUnPyZYi5pTsyyAMFs6ug3X+s23dbupfa/fh1HDvnpF
h7Zj/FrCObHDq18c/IptoMVH3FRZTR9Rqz5LoFIbZr0lAaytkqmF76IOu6Pyom5HRxodGl/dBPBl
pBQxaHe+1/D9subNIfeyI8l7ymKI5slmqD3YGYB3Fyjl8/4uyNBppXnumU0fBena1A+r5vNWA2fb
wpz/XAPqPNRm8FNgjG+lBznQMYgu0g8jxyp1OWYBxeQiJBqyaLrHWL3yPEMFtRWVGa4Bu564oN/G
2ezR1pu4sQCo7GzHBGYK/1q0ATCyC/nSFoKsMetlAXG0vPiX+FieEAUtBNhiQA3xTLN6p6CwL2II
yvQO83uPfZWNZZLRpVvStSAYJuELBJvFCGg1+6mvX/VS6yOr2fgCeZuVEFUv6lwuA3Cawu9I0oRe
d98B1ditnRPQaESg1fg0jydd5JXeBhria6CwIRIYvfBTD/mkNtjiabWJzFCgmPHyOjFuVCDqjcU+
gFhOkFsL5HoWESYle2/QMN9waFNuVIVpHYhcFzCOYBMD6QIrRBic21bc4GtBDgYit3wILYFoLZNQ
gSR+5uanLCs+kDTpXlbKoP4YzvC/jtvKduUrFsTuHjScituBaiBNM2wOTYgMElLmwR0kn+uLl3dk
k/N6PpZhL0HN12uXENi5EVXfuzMXFX2zQZV9y/HBF9H0vBEyZNCmeXzbh6Z/bPnUQCwIntBye4QQ
YLw1ZZY/VRSzZWBtot/hpqmf3RQZyAJXyKRE3Wi1r4e834OXgWBqMr0R+PITAYUXNbfYAxxmPFXT
taBiPQYoyJ7UyqvjDDnYsQtEngJcIAej6YANiQNHnpoWQWKBEoeix7Wicljfg46SvQCLlIZ0zbYW
Qo08BVm1qwoKULiCpgHUD8CylFPXJSbs08DSlBOXJWJuujEWCHMYXf8ZRg71XItHsZrZJiDQtWIh
TvXgID1iXsqC5Q5u+PDYti46VBjFvlc6a1+RX2gSC5VaQi1yfTaiIVszqBY7TDDEZS/EHVs9/yrP
Ogd7GEjFxsEhqqAc25q6MemU9QlVYXCdT+MpCJbvvm9h3ZmwTc0JRV39MdZ2E60UIvMApda1rNpo
2+SuOw1ASHbeirEr1mFXkb0/PUCQNTwu0VgnM6bcbJ0/XwMv6WMuIYMhBSvTbILe3ro83FSZx+Il
gs0R6flzkWAY9At+abpSmq9vvVjnTVaScospkc0VAR76FddbgItjY1MBFQa9YYoKlgC08HvYp4oj
zzi/MxP28mw05ATKuroJKK+vl2zN7uAKEVeaNNXVVHhQnRWmord4QzGLxIBRvUIfou+aPKCfK8j0
JBqy5iacA/+ajgE7jn1NP2WRyTMbpYiVKyC+77vuRAmD4qQETPbi+Xo4Y9msD91auRSSrfd8nOSe
N2Wd5lE5XkMMJV6ApA+bBnmzMB5go0ddhBEUZ7N0GpW/CtWh1Tmk3QU1C1aPQUHrPTfAkluoYTD9
9OBRvtxnJeSgKfL7jq3iWdpAoXMM52p5wgTZ5mbWxXOLoaO3JDPViyOi24fcqHSpQoxjQg2+5GW3
5Yr5G92DCMcc4fa65yV2OpPlG4O6adMQLM4jXA7Q71f0K3LrW1xmgfDNEQse6sf2uQB1+U02dXX0
IYiMaW+jKwFyFtKC/MLcWDTZdzlsSIkeGYJFDMTwl9E18PFg38tEgE9GgNHWcuzj0Fzkp5Z3jwxu
pq/Cy1BlakbSEQURZHVQNVU7LQdz8HX9Ok+Y1YgddSZxiJIXnOIIcgHmEkJAP6HNGmJh3DvMfeND
BergWPYOktFymg5IPvGPfB7rDaYEk3TW8Ko6KHglZKyx6erywOsP2AjkRy5MeCiBpwuUsBiX6er+
ffGK5VRDSGXjSNVg9KGW22Ua0gzRoutrVofLF7noBhD4sluLqr91Y4MEG9aaN4IH5nqs/OlQBhCl
KKjZY7Q+KCc66YEHW4Yz1KIFQuHV8iXLlEW9UNavlS9XfBVTb3SzFu9oxoLDBL93WmZeFE9ygAzJ
W919Na2YFNo1of/SgIX9prkct50iZk/nBdN2lKyNTNZZo+kZhH/bCyhmsslCK1+1OsH0pGorYKG6
aDtatqKTm1RiLO4X5bJ6XprZ4clybNd6DeCYbDyHHjxZHbaUlgYxGyE8mJT4LlHwT4O8mhuJ4xuo
cqZmTaVC1iroh2PFerLRXH92bt5D4vaAGbA4jD8p8JKhF1d1s+yt4Pl2ifruMIXtcKjwLV860k6v
6+T3G8kz9uTRQF7BRpO9e6iZoJ5FeE0ygR/a4fZEG6knfkYSkrliQ6RfEB8wojai9AA9YLcbQw+S
fbnMHrDFQJG9XCn8d43vzVcd0lKgV1Ba7oKwoHHhWsRWLjNEehnYlHciF7hDYaXDfNY6498k8xiP
PSLAl6NE2hi5SEwJWuvnDjjjbrmIqSFWmV8ZXDHYO6rGv60hwcNa1qx3UKpMx4qu851nLaTT1EF3
J+Eu22QVXw8rkIp7qWX/ipQ5tYN6yDxDvqWwxNvwcGHdNqxy/VkMARnjbjBsMw4+SYOsa+8GSGU8
VCwTBCNrPj14DXMA2JAjdIa3i23cuIRtXIH8fakthlpyG3xXVSOPUVFkebxA7nQrYMnAyK9QPWHh
GJIeTFORguEZzzNfg2OfBQG8ZIt+HmmFynXlNWJsRgbNct1eZ/1Er+seRoMYuuElbQtoTzDyLLC3
FR/MDYprSE0Qlb3s+zLAUtNhE73P264HR1LQ+mCYhtvBX/svpUENCxy10nsdyCiV6GKuIK6DUrBu
7CMjHkKZQ86TxVb5U1QKuFJ7RH0hr3cqD65hQUytW48a5dmx61b3PGHAzYNEFXo3Bg67yVqGT5DD
qaOc/PIt5yP2osyt13SlkJNXhuRXfVT658bCXFEAjIxpWdMDgZIB6kFMLWuTtmT0dYo8wOGyCsmr
ZhfLEe7j/DWqJg6spZRw7/AhQrwYSN/xBNWBvwlbgW63y7x1u/DKnLGPm5cCvqSnCSw2csgiNAYC
mOaCuXE3oYjEI+MVP4qezrE/TjR1XqCvETeFEqscMHoz5qWann0+sJSSsrjJohlicetfRKII/n9Z
/Qxaf0tIPBhRnxD2i6pTlbyNvRF4O4cu7mJxynFrxatxQECK0kNM/ay2ZEEPju/hJ0HH4imABj8T
WF0r51U2aS7Yg69xl/xBgheE+/cxrEl3bCtE0G+adWBvXoT+YoZMMU9lxZjCzKVOQ7jmG8g9FOzJ
+NYobz02f1FZWZ9VRHGyAchbOkfhr5Hb/6+R3bN6hyO4/T78/wDtRiQEc/X7sC7Kw9f34rX+y23/
+vFpi9+gu3//5b8ju1z+TAgMBzyQQSQIPFf/hezSn8GrCkCVBAFKXF5+8iuyG4Y/B+i3UXdD5hEA
GP4HshuSn/EOQkMbMh8e5suP/hfIbvBLmM8/OAMewYHoA1mmmNQTgJv8Mckp4DW8m2IQoL4zoODc
LkAPJZYC4y3dO1RfPcT/hXxCVpXYMQ+Lj46yAT1QCTQMAdofpF+bPQyfEAgGw82opd5Feii/1X0F
unFloBPmoereuwHrtYQzAgKCJb/2Mjvfg67wtjA75BCSqKH/wHzRZQd7Hr/H+qjcpiAmes/qVoMf
BY++nTykKcnxrMqoPkUg7tMRtkpUiwilZgoppXBubJWRN/Dld3sDa/szw5jFj+ri2ogLGD52vZeN
27ABrJXUZT1/5CrKvv0ic19tGaSUzRAIWkxmpZFcdktALrNDujFFFXaWixI3IdxLmyUo231bED/t
FizVrougYx8tjNCwuG9kCRU+nB5s2WWQTK3xminzOK1t+6k6Bbct8cJjJ8aH1RL5FfuQgMy8i4Br
0UnhqrYIuBWqvUR7Q9TJN1mBJhb4WTntoIWYk6ENqmeLDfAYink4NlXw3md6OmeVUlfgdu1WcWG/
IMuhOMClxhMkX0PklyPK4Q0BzN7XIMvFqVOoNnNhszdILWBJnC31vk8LQw21iOm5LQN9xg3H96TD
FGeXtABKomtHM2QVAhdokwWzuzYZEd/nqGpSxgp4OGukZxy7yqAbr8N3px0ww7VGx4smKcOUThbh
QnnNF2xh5bZeM5miHSbPEzyyccfqbi/p1KZAyfxzWBR2bwJIpVyI+Zcgd3lc5gONAd1MBvBwWJ6o
lz1BUeRSqnz9EJF6iKG/gHNjLcKXeTHVfoSwOZkirm9g8gWs3YvCQUU9wL8foDvkmd24igdp4Fi/
0bT4DHBJslg1hl77wMeQzyBgr8vIlRmIvkJohPyg2E8e58nPIbII9dMyB/VRFBl7cE3TIVVslt0V
1KSY9GlIcGe7EKozT3qX8JUIuRRRP5oPG9kbiSyAxB9zs4UpPLhewwXpAY7N18Vcj8DmAzy1isj6
EcnTQZfODGNDPY1rBg0RSb2+Gb8hTqs9eZBU32NULD+tygg4U0gPs2X50UU2Zj58ImbhME+YGbUK
wCHAfMD++qVMHa2K3Zyp5tEXqLlQqK1DAp/QusHMLr+AWqHMr4eW5Lfh6kcpmIiwwFuG0Ii4QVzD
zoaXvjsjSzIupZ9A6NO8ixUuSWQueN3eo3207WdIhOa+ul3H9t3681FUsId6xKUBGbwLaH7WUOfs
IVaCRZKwh+KXOQgNchEauOzgpUMD/09r9a8E1z8TWr/kXf2w6gUkwjrtU/9Ckv3AZ2Uc2vPWYjmA
mhGmrAnQAUEXi5EseBwbczXXQCucDjYXk0s912GxQUnVX0erD4FnnjUj2vfJfc90MaZN0dQnOYX5
BT/yKtiIwua57ZD5ZoF2hxugpSgyhwH20HhY1uoec1/xPle/vNthYUMAgHgvkJhwWRccPGxL4ibA
ixvQVNW/SNDm0W8pex75Iao77DwXVpFh8/lBCwL1dYRKOyc7n+ZfJMx4XFf/h7oz220cWbPuE8UB
GSSD5K1EzR5kefYNYafTnOcpyKf/l7LrP0CdntBA3/RNAYkqZdmSGMP+9l7behSe/jCu87lrLpf7
StTcuGAeiHjzGW+9Udd8GygN4pwecXXaOEtccWVYQr0juoFhOc3H35k1QDUoSBK6zbS3NRd5a2n0
Wg7th0dMsIpbFM+yO+In99ZZlvxqGl2t+W4VZz147cE0fOT5OR+OPjrKUTYQi9YdNRUMvTLrUI6t
pdZGZvQb3kdJhjRLA6Ieyc7xdXGmAtH/qLys/JhHrDyTYjolC2u4c/Df3OUR0IZ4omeq6gm2VAK7
vCqs8DwXyXjhj+hlC4bY1ETd1uPEjcvviW0VytlNQ01aRDE/k5zUDlFMigZ/Vc/4ppfR44ybblxN
S4QO3cXT2kqzeJvZvrlrJ0dh48yXTW5l+AVJYiUbeAHtS090K4gsv35JrdQPOIPbP4py+eCK4D8N
E6Eg/KspFuA8Uuuhk86L6B15T5ekeLRwXO6pb4rYWzyj+t2klX5RolIvDmbacxw2pPUyZzwaS2Hu
LVKbN2FjMMoY4U3gr+3H+HrpbHuCSJ3uV+5g6gc5TdODnorsbpzKgRM6avUutseST4SAYTo37eMg
c58p0kI3XWXKL7u2wqeKYAzibP4cE3m31v2COQ9Rfik+CqOebhdL9jcLE+2dEXegVyIMy4WXkQNR
eXLjOjP5zNb1cD6buLxXUcFl1mjH+oZMSXjfial+UCSRmp02o3nvFCoPHNtiVNlOw8Yfl+w8THF1
q/A4BXGHjFJEVn3UDM4fuGOgfzchxxWmyhA8qQK7Z27zmPtc9aa82IlovtWdErvUcycmtmjAM0tV
d12zIsXqFV7XMSsy44diEeLHu65w43Wtw/BOaLmVKxsrDNJ4jmT5Z2Ec/iySrBR2MFxXzva6hgIM
YZ3JE7mwEMCbWcvresuFtHzW1zW4lbY+llPFmlvLZn4rr05RyXTztJhVc+E8X53gsgwfzoSkU13n
m5lo5RaJgo0hve4R7nW3MHOTuWx23UOaKEvE3pVLmaz7P1uQ4ddxtPIFgR7Q7o37NIOoue9AqISB
vu5rSRtbqDUVqaddZ3jtUYx1ve2u++TQpkuQ/tlByzryvqY6ddgq+E5b7FNJfarzAnm4prJ1T6xq
2oEgIgLY/tnSF6Pjg8UaGgdMsMetCVeLBHnHR+T+OTXM1wMEAsDPcj1SeH8OF5ma0jVlME4A28e+
YxRKlDlmqFTEDNPC3PMYJQ36VORmHeS+oIjTYcTVl0WxA6kSB6DD00M6YAlYIZAwXRh9G0JTBcvZ
J2t968guPVjwgm7TqJCvMUPLu75zvEs5m2Gxaru420qmyL8bUuVnnU/OL/gD4znp5uRZ0M7wGFqJ
7uDTDO6hx9ZGfqgVOigYFd4r0ycdkCSxdQeHddgz3stuOdPNCeuGJD/P2d45F2SPjnVYF3c9Qicz
1sltv3Q7vhmqrgPfE3O85hrsbEkwmYQ7x/jJjfjFU24NhxaQxLSKUzU+Rb7Xzcx1HWtjZbY4O0uF
tqG0/UhgT501PKQ1Zl++H1CdnupqwNRdGSQPLJGkPd06MWJqPHrkvE1CX7mvUxQOKuI2iuDQnoOl
8aX9ZfhFdVvNe7xkCeoGD9p2mqBkrZSK3Ov0gbeR8AMCfnqVpHJoCkdIWdlpggRy9HEZ7ItUM8pw
Be4nO2FCXzcqekgiYbyb2jsvUa+fiMgXa10JBkZlmBzjxew0b5qnHoAlZR+ppShrMAzHWllt0X9F
zhh91ORrNoZr5xtIMeGO/+SL9uOQLKZ0Nj1D1RM8QL78wiUwVVGB/CAgY6xKwgodbmJOgWBylH1O
+DXCLOWiTBWtVwHmqdLlN0FZoVd9xWCANdFiPkkkduslPdl23DxvVZfZx3HuhltSRcysTXfYTAnW
4CpFgSL2nfELlF6zIRijN3S4qFXuq6Nv2D/F5H+hjFk7NrCcC1JYleC2HI+nnQjFqkyb6BIXwJNY
eThYh5nxQi47UAiOL6Zdyze7MYf9SIb+dSJA9xp2Rvs743kPfJF2V/jNR+kbLxZjtHyVpo46OHZ1
K9V0n/rMAZk4DetBMzTJGOEVPFYxU1Zj1D5jXb9Sxqmt7fpAOpt9N8ycIwADa7/0dboxW2d+TwTf
U2Ox5UlPAqNnrMJfEjbVLqL1flqTF+JYvwCnXU16WNY6tr+HIQ4pHWzEVpmzvKEhLTnV8Ifm01CK
6qLob3iKub/odUK87feY1RwXLYzvN8TKWW3AA6WPZT2pbkUGml8KrWTrQqratZXlcDTGwsuTiL8k
cP1W8beOyWeejCiObt0eZUKAIvU6fvcxDw8TWW5inlNPUNiucd9ca29sriP3mepiIIzuspn8vNvV
IRqUDJnUNCKbD9r35S5x+P9rI3ffCk6CySZcZh8Fupy3CF7V1jIH9yNuEnMnR6S5EEb9sCrymae2
nQ3FNTROcdVX3SHNu3cfPXhxjZ+rNW0zmqH5SXzJvfcbphpu/dRlrg2gB9PdRUbtXOymJFm+U4vp
phV7L0VPRaSg/DNYZGkGJLQnwpANilds6R2RkzTAYmS89JFunBX9MnHQtGPLkjQSoLZl/VBji4fI
Zfh8v8F89k/IE8sTGUV8IxmU+jU5qhsjixm4VPzO55yJ3m3KlX0l/ji3bEaWA84EuEN9Sz+v7/ri
0WGrPltmOf3Y2VfIxKWcaq2Ysy+xuhfYxfdXUXQVi/KWINkKVU8FbYcoDN8q3RFYb1hFJHcMJotE
kr5nRfgMPxkq2UrMeYmvxjWDegxv+ild7jgQnno53jnG8OZlH9VymeGuSLs3kfVl+pM60V2WFWQ6
29p4cJ2weef7xeal5v6eAHh0yokWvhnjCJYnIZDjrAX77M7niWaA203PCofLO3lB55VUcLMmlWMf
OmGkR3YCAKk5qqAXpyZBnLzYlIJESJpGuNzSZOUT3sKRM8QPTK3UZQZn9eHE9YK7PyoO7WKH6yVV
1HCWmZPvPbTJhf3U1RQBceqtSwKra7oD4n1kO8UhvyZkoUAv60X4+lEOIZ3Lolp2c+7aW+1W6d6u
HC6yMSdZZPZ5Myam3nOGhPBhVx4KfGsZ4dlhjHmwm0Fvo3ywIZuY8XMLQWY3yt5ZE8/BS2K3/j7K
c7ylVUI2BBPesOVnkEEDG3Mz1n361oyzg1VNEzzGUHuJShbRVVchyI7XDdcjqb8zzewZC0N9zKCH
7bKw5kCWxct2cFPu/Layn/yWOOYy1FTgsWaQ1ptzyLxJBSoO88ME9qTLeAKz0mDBhsVM3GjgyeJH
qda9X/CKsWcmM4el9TKX2EKEvbi/6qi09ow6611oFUxreoXFa0iKPRXF/Mxl2a4wweAgSytWs2nC
rhVlTjAPWXiCssvQl/7G0o+/HISZNDMOUcUr4vDUFiFj3Uxb1y6Et54uBDCQjLJyZ5mPKHy4/1r/
wr0cv1c+8d6Cp18pERa3MXyodTHBWUInWDaJdmKuSYnL3dzL8lMMv5C3IIRm11bm9zKMKQeGrvyJ
sRSsFJGzg2fNYt2I0ET+D/vqSP1m9i3zKruiMNtrNkaGF2yO/m3JQfvMXaU/2XAsD8asUJYcIu0v
qbDHNQYqTGakptayzqtTSqaa+1+d7mvmnnvDolPRHtvmprTKbt8l07pGRzawZGJYtP1lu7gp0Nfe
tJ57rmvnXqTxqhxdUigF2kfsGyuq0oCNpNmpkg4Wgf3s8X4Opf/eNXApmti7yHL0sTW56YsycvvQ
ZHl+44InHJAhnUM4pefIUtN/l4aQ/9FVGMOCJ03X8KXxr32XU1pSJm7jcGP+0m0csEG/YHChpzcO
JkZG8tx/rVxHT5GiVgwGCHO9II5r8ZBTcPul3KVuN7kNImBO0oUkzlWvRNOBSEP/CcAjM15sgVvv
qnAaaiAU7WkEwrlS3jFxKpsRLzdE8W+2+f9tQf7/ktXaMCHS2P+lJB/8zuPkbzr8P1/0lxTv/gPe
v4OJ2lMGU+ori/cvk7X6B6w72lTdqwruSQ9N5C8pXnr/IPGNl5oDO1HxP/7rv0zW/CvbkLzKUJZp
8jfK/4kU/+881oYnGRLYNu45G3HZ+5fkTFI6cEC5zaFJAQ3hetr0T8MYTW/x2I84KaanQbTiUlqM
p7ibx/UJliDwOFDAGem/NH8vsnb8JMCWHMLMHzZEVB3wWVx1cWn12wQ254NWhr7w18fk7Kb6HMHT
+E3c82saOtCyiy82TQpkAJ2yOtf+FD41EhQVsdvu1cK39cm+kQUCfseqC7PsPFfOJavy8ZSbFlRL
ntEXK1UGvsGFCx88HOZTffVYVf4bJAN7bU7Ab8us0RslxLQzSkbGWsok6LqafNzcPBoFWhs6QbWy
6t6/1FpkwTD0DYKxLTZdROwxmjowJm2PhyfMmh1omelVzhq6oQzzH0Al5Q1iXPzlqaIhCd71X0Pp
dU/pIIsdJFVAdDZO/MAeLTcJ0kILDgcqND+yFNqIsilhNhrPv8F8M0EfQbUkcNn0+sMq0gRJHjs+
CwT90O8VU50VDpEJVid1PtWKYe0tYjmkAaaQ3osn8g4XjVkQ6fIWzk0LA8u/WOH/2w/7fzp9+1sW
4//QkmBxHiCL9Z+P6J57gpj/0Xzur1f+lbyw/+GxTjCjIyXJmf1KL/9n8oKzLqx/3/63NUH+c1Fg
CGezfEgPfyXrknNtEfn/i4L1Dw9hmVeiK/9ZMP4ni8LfM0potT4qoO0aShksDii3fw9C9WUPuWdw
xh0NuuTQh3a+LxmRUy/kJ+2X8Beu1kim9X+TuzL5Vv9L4gNsAeqwyTnDM6WCgvr3/zPLQQbfchx3
ACrCbdJaTv1ZIEgZq2Q0bQhutZnFkOCm4S2HdrFstF0RkPBcWmHW6D9gd428plKhg+70HjYhIhnj
Ob2yzTnistVa2BhhCKBvFGE37Cdplu26GUwALNzGGFLXlTd/WVOzsnrI5zhJLPe9sAv9OVfSfymM
tIg3hhzHh7m7InGyHsMz4Aj4PQT06nQ9mnJ4K2032bIVjEC5C84/VYIZmwHJotbdUn6ljYCWYY3B
UplV0IUVCk9r3rAppw84ZN1Xf1HNDqBOetMWtXkt0rIx6YhIhc9ihBy3WSJRHXAVYNwM59/4eLId
S9g2HFN56KVmxDLFZy8e3O2oi4WYZ5WthVm+JHAmGQ+x/pmTfBw9gZPJl5e5YM6GK4KYdfFHqLLs
e+66gQcnZi0t2C7RNPDCtnGuNcs5UQWjhGvSprhH5Wct8nIV+fbJcDjnxnDLyBMw2s23E9AzDBIL
S5cFqUPBKO4coqBdXOETC7vpfoJBcWMMdX9YwrZFCeiGbV8NRVBBsoCCyQxriGAQ9FPiohZgbus0
7uneiYaDBE6wBSPpHBg4gxYGKoM+MAxH4jrJzppiydVGL+vBKeWe8c+wDeuoOOLmUTvfoXyzXWYg
71MrKLiy2XA6M8oPZSns79ocoz0hdREgGok7TA/lAUk0ucxL3mUBoEg7iABZsAbrEDogKR+LA6wH
pDPADwwiGkJGDGvVsrvP2UU4AT5m8bkn8eK+R4Pt3bpzYn6Voyy+sZAxIsT9jLgk4ebipMluDE1O
JGDcldyl0m8O/dycYFCKY2HVNfJUUb0WXKd4r9OW8AME6XjZtM6ULOuOAbdaGUal4KRGqjoX+ZjD
WQgdE3BNhegpEajuCMYuxlqbVn6Td4WJ0o2austE7D0WjmgBExW2ETSqXOTGEWZvAG1T3q1BaBxH
TzOPD1LAc7OhAkbHKKpxC5HQcN9hEuI7DWW23DWuBe2lIYZ4mSfPABKWcIxXXOBuaJyQQFsoOF/F
hhftbbo+n6q2xQfqEX2aeTMh1K2s2Z4QECFj31tFNb74UeOANvVd2IVKS3Ccwm6njeeQdjjOU2/+
rhrizVwszJfMihuYU4Vp/+CgCulDAbDHjPI6GgV5PjvigsQ0bZXfLCeknpRrlSNbi4CVQRGClafx
04ByA7+uEUhShrlF4q2ttRMl7mXAtDzx8xUdE2WBVWf+VlH21RXxDQPcXW0IKsznKylhlPl+jH3r
XtmI04093FynLRwSVHbj90m2WkzM+RInY4Dc3+/Turkr1dKdoeR8x5mpVoTMinXY59HeSN36tnRd
PIxMYrbuXJC8KdyE6Yvod/C3vRPOernpJ119LaoF3Uxp950xp1ESFHM43YRdpn8KYB42fliZnHwK
i2K+wB6T8qWcqbtsZ8f8csl7HHM5MGQkYaLdAgcwrKTeCmhx79RvML20R4Cjg9HrlaLguRRcRqMN
YT/8RPhInsHbuFtmI8MDyDB84nFC3Apj9XgEI/q7thrWj66y7W3c1mHgy9kFYmJjYM6Ql3wN8ZQ5
PsbaPi7OwgDTsHbgda4Nqj8ubm5npFkEI54V1ia8hlEz/upFMdx1HCuzTVwRO9akNgHHj/F6xr5A
44ulgdo6COasFtGXN8L+EqXj7VFI+cUc16D/aOLd4Hj47IGUOTl8jivSTvwNmi9wNDGnCm3qHKJw
P+SyWFeFc+wRKW5rqeIjyecfdqfkrqz8epe3TZTisETDOaRWBoo6bLJo0y6LgeYHNZnxA/Ot70TM
EO4gLxo3riqZWsgQO9gmbkWKiIHSfKvj8ZLMUfbaJy2EJtfyfhuxOeyw+mng2DwwO6cZvXFf1+SG
NuM4enc0YxYvjHDm9ajNdo8aU34PxCGZMzXhF3xJ037s4PUNDM9KgIZVbxn6ig9t06DmdICpjLzH
Jqvb5RashLVOB+MLalm1BRK47HJpjifwllQ+lm9CDxBCKAKSmsrUzHLRArm/kLgZCAbatUdvCsiv
/mnKpH0NkqT2ndu5k97MimlWPk7NefbKh9AiYMi0sg26uhBnwILhnRYTMOGOAB4Vz0bXJoFJqDiQ
FPhSFnYoTDfdTKhFJ4pN1gz/YdExKOBXiG/90fhuXP0L8p9NgtLlqGBI8u6LH6+FbuReiBBiagTp
X8r8Bk+dRghqnZ034mcLI4nmHzNhr2Jtn5DxXhidRhtAbnwBwonlOWJyNfV2N64LscSXQtfzpkqT
rZhClAhlbvt5kDexJuubC/RAQwA/0REyDBDV/hYeK14LKEKImzrDA9lIIJ0h1gkXQzSf0LThLGit
IWYYxAqX5zAnkyiLigpMxRubN2V4W3ljtQu7+nlyYvGEStnue98ZrkcNrCuq7ZkhM8dhBYJM59QU
ZmQtRQqD5AKHwWmvUgu6dOqfCQvx+IJvu9d87hinOyaG7ajtnchUssm0G+0QiuaVRb09DzwGvxPH
he498a4fKrgCZzt0SXdWuKE2qdl3HnTbcHr3XSO/uCAST4wMsx/4Svjh2XIODMem17SGGj9IyLnb
yTGqdm3roQwi1wh/oLEPe+XMHuk8imoCttlwJ0aPeoAqMeMzmEh2ziwajSPmYb3TMrU+fZJ/N6Mh
9T3G8wzFti7BgIbXPABdFkBpxzEtjuAuk8fIN52T4Y3m09yk4e+8C5eRxIlX7EieJRkLkxke0t5w
jrC3rwXDOvU3EeMr8mO6o8gmmkfSmzgbdoUhzRcL08eKezb9B4SVQGlL8Ohk74wRQLzvVnwIZXGm
VlM8SVel+wRPxinV6XJt0BnfAMoUdFTMJR0DHB9gi5cMA7uBlEBvGJm/cWJrecrSef49pJCpgpoU
3aWlBgN3R1VjWU1UHHC0xQPE0X6bhln34s2VcRcyajvGoWlgLhsbbL0kWGnqaFX0ltiNHRSFkZ9A
2+qncSrs/QhI50H4Vs9pUoVnq6u829z0zFNfeu6bQIdaQ5Go3iw7pBMB0Jvqo7vWSxVOhQhlsREO
NDEvswtO7jHpPFY8k4ntktxgj6E02G1b/OjE3FdTmOi123CzWA0EA3JmXYovU+aExR0YyXjn52Wz
kmPJgbGYyYH3guFWzU9QUlXxbKlxzFZ4CqynMJyAcS+CJtQzWwT72xC548wCZqqg6Dwg/QSUyeSW
lJFYJcRxZV+N/Xa6dnP/k2u2uRGSVsbEK+edHFO1bZo6/ubQkm+EqqmtiJYc7XbQ4KILZ2oPdTN2
6IlyuQi/47TpaIDnQL0CTxiShiEvozOBQhscH9G50q28m6iK0J+VJXXzMOukyR8FNGNKPvAxh9xE
uOCtidmlEwpxq8O1LUeYioCShLdSqLY7YP/ppbCn6EnXZvKzEIrZ4WyPqs0y2dFuwOn9wGDLfB8q
334a9CQxzLTSfxuWyF82aZKUj1Eh4m89qfRIYZL12diwYlZukzCqnWqlL0Cm7N8tVWzHaKrwYheJ
bi5za7JWLI1kgebgzarm9E20awDllYytreFV8XF/ZqFrPzsKgN2TV9iqvwurxrY2C3z8cmN2Hs9P
kYLTta52Bg+PDGpNETGYJ346J4fa5EsYDGQQU87tUIX6YlbmKs94eu2Z8oigYj88VWYKazezmvou
at2YwLkgFdeI2oXRVbtyXlW4C6FKDdY7lSXxroQI+VL7cviUXInWDfjIS+vYD4kYgwhuQEA1nHfq
54hoI9/D66TU+EzdePqISj89KEDgL+kyijezrhxvo+CNv6tk1sexn+bt6HvVvVws9RDBRoiAZupw
b6f5psEMeOBEHd9oaYMYA4SzH3gLP0c3Gm/6SqizHdftltzczuwr9z6Bq3HslcRkOg7ppbSFfUvx
NCVVhNcMc93UxDS01+BLcPM5PFXt0rLiuOEt9qCPIYq/IZLqB5JUYbnSTQu30oKGturU6P8MHkOB
mHrQLWYA8FSTjF9azx9ep5QnJxdl/5rmURSEWlm35ZBVxyS3iwfCYz+RHRtI9YhjDcfZM7YLqPGk
W37TpUPmJMIZRH+MelqIfByXCKgenMrpJbsqdJ3I4rsudNIzwE9rA1qOlpjCrPsbHdLjjC+wPqio
iB/Gqx5o1Qm81fYqFA7cSb+aWdoPMbHt7XxVFTuvau9H4hYHUkevg6GTKtCwfTkeYLra6Mr31u00
yy0mkeUzVpS6mHow1llucQbqU/kGSlQSxEXFyKmHemP4Hn6ERKR2TsQ5jW11vMxEGz4SzmJ3ZR8t
mwUsy+0AFu+x55RH2hSO8XYBmHWkx7u+DSGmPY8d672LyeEjSdqSoWyffM5g/sFc+oyiTIYTt6Rj
UngFM08XBggDmnHiIc+xp3iTM64JmRKMIj4MKzS9La0xfMk9pzs6zKJfRMX3qqOpi5sg5iivnrOg
iC3z7PqGPIbuOAWCgfwT9lN5S6tT+WNPOm5wcpbyiWqM/s4o2PNWwMCsbyjf3LDAPrcnI+p8oGwh
xAHBF41UAy0KJpT2bHildKOPgkrY9Wuv68bn3qXNx8yZ6ye3ld0nUxu0FTcbSD3iPi2Bv+fh59Qb
mBz8iPXl1FWtOi+sfi9LW2bqJqVAiGSaKux2m2Ze+Bn1uL5WzpBYX6Mq1UtFNxvJC7f61BMOGxka
7mulEGmcoq9uIk5qWFlYO/iB0iKg5CvfJqNrX8CXmRtTtc6ed7K7b81uvKWmDkAb87mTORIF6qQX
buiiyffzYM3bBc/BDYElcwVssH5rXSPZkt8VFyfPnHUKTntluuueJb5al1VVfldwN/QdaOvY2QuA
gaA8/HmGrxaZLyW3DUxUmU5+wLWD22uNeTOnM1PncJmYw1Qkul8z7pABdVGIxm4iqIPpUaZ3ox1y
oZZxZxekNMb2ZjbG+F36ifnkMityCJst/Ayiqy5zdXUoXDuUXuyi+ekyOKKbxp3Lz6UN5x8Gn/Eh
dgTLEKGUIC6aKnBGAZ9CJ19ZhLCFz3I1uPNnrp056Nma11PfW+spTo3rYeyFRaY6zm33iBNX7qIh
Eaco7UnjRJDABz93AkFRSDZQYxUP3qXHzX0fWiHkSqb54JvtAhVAh9nBYcB5mgirH2Bu8XUQiH7H
BeJoFeSxdd2mim1W9U3gM9Fjq+p40sRy0sPs3SbRHAeIHu3O9EPjCyMK6ESTDDIj2Krg9XlzUrHh
3NKfVm6pLuovtJ+d5yU2d+zNROpCgbOI4SB8B+EA/hSg5uAxtPeONO6vmtA7vVzMwYp6Mi08bWV6
z8kO07jBenWLD0ShdnXO1bcGbWM9pFw84Y4sNvobhj9Lx/kLBoxcrfypVQ8cDXKbapssvIdATzhn
crt9D06TXisrCaxrYMcLZ57LPPRXPR1j4bYnalyy6VXtyW7REtf2IMPXJoJyCaCte0/pG6I3b4CS
oGIomR0U4wcLawLQ+iRfV00TnmPmQ7dGLRglA69xTwOzpr1VZSl+k7k7YR2vT4mdeMBzYF+UmPii
QOJneSO+2d8jrnU9VqKOIw1YxGzTjGKeVouNzSay518+4agAoyltKJE0vgVRzsNIJvdRsTKt6PWT
FDLVCxHCxcu2UTpE29YxlntSwzg4JS6clZkW3q3O+vphERoHAJhc/pWwyr2qpoU8aO4ea6dOn5VD
ByKLdwcczsKnViNemZgG6+6eO4F8UTHw1cAwRs5cwHGsjs2sr8ZV5FKwSOs9pX1SPHv92AHthWFj
YhPj06xjTYFFrh/cUELMmD1x6HNVHwU1efAqy+bDgN0biKhiGMSghcW423NdJ7tWNPejUfXbNsNB
ZRK/nFf80Tn0tlfc5NqdttRk1S4+7JQSQ8qH+o1txTzj1YjcoDxs3kPWtCYbD9YQEzb0Cx0aJi0Z
JR2JGNfjFcrVElEMAM/fhenKPXlK6qcM8DR5EqfTAAqI2JZbAaO2Oo1xLJFka/qaScNgel6BuBev
ZWp3R8+IU7RnDtHZOgYwfGHW1ibkclXyGLuYujjPwExZQQPANZ02yfCTuoDLl2FSH/TsqYtH2Zm5
dctcNJuU2Vy+dSzaYIhIx367ynNSAVizPOvSkS3KMMAk+GMyirdeB9tKv0ZhzAtVQ5NhH3TXhuq4
IPU/JfZCXYMVTjtBf8y9HiwcfJHTdA+Qw8A6SDKM55pZ9MUabTLKWf/umEkdhB7TRhMT/YeorHhb
zzoGBOxaxw5W2kvapT1cCOg520HFEpKSmSOk9AfehYXwba3vVNK5NIIR7n3s+xH8ZDgvT8iXztFr
pHu2ZqjGQQpU7yYaFlhyWNe8b1QDZpdRKUndUnXYr4SmtzQQgLj3aMgNTRVRpd8SppEOlxE53/YF
bVNXa03tDqR1SuU/ZSTQbyJa6uxMtVlACZW+DSU7wR7+DS7GZIn7L8w6HejYWZN/1lUxjitUZ+eB
5LJFrn2ac59Q1Cxw+lgotcFYeWUWWDTibNlG4JTbfv9gQTp/RTifHsgZlTOVnVfrot3t+q62ni2A
P/cMM+1N4onJ2FaJnGHGO+k9+DI6F6rJUx89aH3S+yo/9cIczy2tkQ0SpBnbp4ZiFjwUZs4/Yw/m
zkxPHH4YV4xvM2lA5H8O1xRg6hSHdaLvNehp/KV2Rm1TxhvxQLvjItZRLaPv0IzdYZ3YpvkYhQi9
q6QwiseUapqNxsa1q+DvOmyn1HgpYgpyrQvLucOD0l2aqDIucrJwUAunTFeYl5v3RXvJnVrAuq7G
xlO3Bl4oZJyyS2Gb9435rGJfwtj2VbQumsRg7jygf8KDKTC4wPj7lWTF8ln7PDwbmADcPUejmcJg
XGIiRUDjS0KTY/7Kt20E9Z8n7ASonvq+M6zw1yT66wLHQwTKJn91XUseLLNfbg1ZukcyuMYuagoq
RZCz8dD7xndnD21MOSc7H1xd8axEUjMVb92jJtJ/Y0/9eFisePjpBpu0MF/bZjV5fuMSDdb6t6LQ
KGjzIeAOkVNypvpyD6vaPTqs28HoVvmjrUfnKCTI3SWbh28cnFa9XrC67ah+KPd4zDVntKhoPs3a
6OJNNLjVhSsS6jccs+dstLwHj9PZr6V23cdFtvyjZR3qorF5i/orpQdYDeMOwnri2GfGtBl4Dx/L
qet/sQMV3op0i/8kFtMK12XRymRTdfEZtlF3qaoMu+7C2oL/drDtk0/F6Lmw3PxUm7yIvvIrL0G5
Z6VL1ARjLsgYIatdN+RR3noDvOPQ5Vayisopv2QxBNw1rZWyJnBfLQ86Y8QGDYGxiZGoB4Zb5SE3
zPhCgKFe45VyaPRtuGrYVYuFH787/YThfUHw7MjLonuebvGlTWqy+ONbHI7ZxsQI+smV2bsb3GU5
z7r4bkwnKLJrZV9ceWvCtPOtgh3zmEzWhA/Uhb4W+49z0sn/x96Z7EiOnF32XXrdLHA2ctGLdnf6
PMQ8bYiMjEwjaZxn8un7MEqCSgKE/rVXLYRCQZER6UHa8N17zw2Umy7hekaXh7bRnWRl0X4YJCZJ
I/jlnCtcwcszle3GTnmvCUc1w7bn+opC0zHh0CCFHFqO7R8Ci/hdqOsUk9rWWD/YHOi5CaQOMDn6
dmn1GynpinvHylYUQTXvUo31GXX1J20mpsLM1zi3iBjbZcBgcT8yzvjIhWc7K2WEEhtmh3wTdTxN
gy73rKrAxeLco6WXmQKoCvN3SS5AW0F66fI1nb5avGbsDshAOcOUrR2OCKdOE/mrJdmyaM7iyBIx
4VSGOcQrG7UFppxRvqCntoeMzxdSUVvsxwjbqC6oTfEm3St2WF1sdlM5Ilq1bfbhWiF8vXDugtSd
vN89dJwTWWVIWmz37zoo6Bp4QErZo9J7/9iFDgdZkaBbWXPHDQZL4XBqAHnvzAxjsoeaw7i3dH6U
jp1jmUtb7RDSV7qymZHQJc0c49KODoucL6oS43UTPTo5mo/lG8NTLEb7qxim8TPm2PpUjR1oZRfk
Hus/wayz6ydesZqtcfyoFPrlilVBvjAi5WgyZ9zxwFiwGPedh/0jU63FRqPa6DJouv4JE9PLgqEM
iRjUExvXlPvuISyEfuIvpdEV7NcjpHELaJ4DIIcyNlkc6oZEIJRbM6dcLEyn18pTJrpN5G9Ns2TP
z6kpCkJXL8J1EcJc37Qini9dHLJ6t4OpjsSDGzovYcuDN5jETzrPYmZ5OoofSJuC3YqMRQgdy5+c
a4lfn8xMa4ETSCJ2MZo7XAJILinX6uyPI99GKVtC98R5Q3WfbTynfY2OYubqNPYCdw0Vf9qBIXsG
dKpe7DbIVDTKhF1sPqPZUqY2IIiKdZY7zhcci/xaoqDes3lxdqEnrlstDuvmQCZy6dI25/GNebMZ
1CrRnuRyu8o80oqd9EeKUtEHMcTrajPGqX7x/N78UjYRu5Zx35YaHapJbGL44RZzern2GQ6f5kw3
jkB+xuuko3iTXWZInkXUilS1SUTENXizeqq7k+Ee0PUdQbqB23XzRrq0phMvTw/wGLWAAuVmA+C9
/2UQp7p0HCeu5rI6y3kiAyX0/EzKhSxZz7/NhFrIIneN/qZrVXylfFZdQDGaQdHqME7gUTTx2nLa
t4hE2H3d9/m5UAA8msjQAtsM8eXiNfyZlj0V2aVXnzOcobeQlg1A7PEQb7p0mH820sLFa/gC128x
7DmvMyYmlOFsvw0v//UG/f/IrLpBrt3H3/fv7UGXmA74H9m/GAb/9mV/eoN86w+b4L7jQBS3BA6Z
P41BvvkHZhzPsoUglvYnrPXvbkGbr3A9nX8sneo1B4fS341Bxh/QXV0HtKdn8LX/WXDfWFKaf0mw
eottFZORa1LBYzj8ff/ZnzMaaEpcjfp93tOFARKl3A1Ole3qxLhadeMfaJp4TwqD0h0JvT50GUvC
GPsT6osn7N+QYb+Tsv/6c5imLhwhmC+6Cwz3r6hmRDgN60zY713VQJgX2EAsRe4fY/Y5ik52ta/Y
M7OYUhdscpPDhotcfkkiUodVbT11lbg25n5uXub4Sk76ZFEawNyfmHfYepvBFRxMCMIM3CcRZe4J
x+6MEMHNKQnC6d3z0CTnyQH5H+ZBkjV3I6dtmsSPplV2EGm3YZO92pm8aQmLaOKoJwZcddBY8gc9
1VxkRQfhwyXfioRUl8HIN9p03jzB/4+ZopVP1jRuVTjtE2ndDfRvrGwbbiofbGNZrAPuAPmN+PBW
yEU7dM99nhlbBhZrpgyFBswTHlzvvWpqfpBJ8lix0Ddy3EMDO5IcXtM5vdJF9TiODoX2CydzVFdu
bLQFyd6hkKtAE3fiV7/I0HXmI1TWX0UU7z39Q2v0ZyH59q241E79gIlxZ7ZFwOB+M5gmWo3gx3B9
c42VPWin9BOr5ldcWS43a1osGQP+Nv0Z4cgxo0M2W9m+YoK4gUtzao3honHa24ilf3vAyMVN7TFL
5aHWH5qcilTdcjezPTxWo7wzmMJiek74tLixwR8KYtpa3eFYJdZz5nkVcqtNGe5jlY+/+8zjZqq/
zw3EhlKnD3so3+QQU3can8zKIu0GUgs8W9AK/5nHCwlqiwfXxjvGIXtsewib/RVh4i0s5xPq9gPC
GzN20T0bVFoZxleRZVfknVPXjwnjHCan9CWujJZ8XG1yKwrTDfsSUTJkVQiGK31M3wSPZhW5z9yI
9FWoM2WsuDvCFN0UDfYXU9eCLGl/6i1J6JAsFHQf5IE8EAZsyj56TTLjyc5e0dPmW6IG9drP2Ylg
2D2w9AXcAGoRkW84MPDfiF6dRO5v3Crft5F6c7vwl9KKyzTfSueZ8eO8MqrFiUJKxaQAbaUN86GU
ySsI72HfkZbok+huDgU1pxXdrNDpHetmT/e1V16E7uO6g7tU2FNxtpc5SkcFBhf0u3YM04Ax4h4i
ic1keXQ2+I7Vnj5uJnhnZnokPg4NVn8CcKTRPP8ujjtYrOH4Ws7tflbuJx6yIIEqvFKaUV8qNF7e
HJWuYxdBYWw3yHufTuptK3UH+wSPm3GfZdnGgHuX6vOL7mV7dAuOL4xa5xmEZoy2RtiPR4Nuo8jM
DlbRgeUydIyEvXstOuPIDOuWm/Nz3HMHrzrxHrsuanPsBFxX19NkbbtsvAmz2ZmLE2/2xAmZMpBV
9NPt7TsDxxmvE+FpHf9t1Tq32JeHUfkfzHpg7jtfhTIOSTXf0+DBsd8sGImmOdBcfTinlZZsCzF6
G6NOHhbq+XoO9ZvEPRwAoqpdsKeNzifPHRiU3sEr4wtE8YFeDYuwBL4fe+Jaq7nOnVOH9+SXKk6V
5RPaJiJ0aK9jB1oIK81n4eBKntyXjAuGy3/YmImCW+fQkzMWJ8Lzz2Kub2HevneYjfa4TijSFN7L
PEyPYhgkk3+YUu2pkOGqz+onXfNvWN3e29T5MFuTCqjwrE/dezWpVw6Z2a6leFcCuJq0IqjRZ2cR
Y0G0tQdIyIcxMwgsCgRvbsJrKqdnXM8F3D9RJ3vhDYclHmKaFvfz8relsh2d1T88icNwoIw9LyNU
wJA3P+cIj33Q+4WT9mVkSrEqoA5WaHUV6fc1RN4myCy8V1grAPL6P6A/U6nY0PqMzkYZ8CJ3Jdqz
WVjnkXaJgDfs2k7Ga+Xnn3AtSEFlXIf0DBVECV6MzICdNbz3fniXa96TNnhnvW+vs6njWk/EtGto
JDWLhYhn/1pKGRkxyXRjxM155mOlBPCi+oFxI0EQm+Eoom1Gtk6zaVarJZmoMQwsXZ149Q6t0X1j
Gu7qsqcYFuxoYCTaxdZpmo9l/FUX5a6Z0we9TYniafKeskA6u3keao9PUgW1Ky50lR+K2T4OzRCk
9dGNuLEJj34QvLD6FB5d572z1HOYNUHc1jumCisx5OuKnDWTUAbYBCrL2t2UxQcB+Gvmi9e+Ng60
2G/a1D4xF9gPfbmlo3xjULO25vBM6dEYrhTxQyUeq3DY0GC0n+Ir7TevUxathiHd+zzpXmq8Adm/
mUO/Vwv2Q/g7SqQ5ijfhfqbddDP29RO9dT9qRYVPZI/q6Navnl9vnLQjqWQRnDL3Q9qdDXEeZ2uD
hZeKw7y+12brgmufqzbSjJ/wygNmvINk+aucTpLzM5euW4RBrp+vOhSFBJBOrVu/W2TswOqoV6Ik
jvPbugcpHZv5VyTtm4XMzdR6Hyv5pE8D3hrmRU7tv9FSt0m6362DcDuxdOLJb5wa4tfIS1i88Yq8
wFI7ivSj99Q7JtMPqSWbRiXnTu9uInHXVuGwvITRxWHRmo3+vm6KI76pa0ff6VQyM3UgHkjKTSbN
/uTmeu07c1+M00UQs9i0CbYt39hnFo4lo/vRzd0bVp8lK7ZXRvITVe6TnO8p0i74lykOIuPg0A3v
RuWlcZs1MfdmnXg0Tj2a2dFiUYiGjc2y3CEvtRm8zS5oR2Kh1mVOvANmgxudu796r0dHxHFIsStP
c4sABf8aGYha5kshRcg8ujpLW93XubvGFw1Hpl9Hsmcy2L5T+5vSwPWc2Aw9SezSongtiRUbMPBX
Vh+/EGl0Vhq21Dzir5XcCRKendil47AvsubL9sdTFKv9WPEB1uYZ6g/mE7ggfhUHsgHihEPaFe5L
PdafPsWnQWtjLk/76MWptAa+QEtoOMmeR6wo9+RTjLUbNR6JMp2DTcGoqaDuatDqo0rStQLXDSjK
uSOG/C6T6acZdq9NnxLvahgD2PVLrcp9MSQvCfE0h2I91+x3cul7n5/61mQ2kq0UXaGWkz1UQALX
YbObDCcQvUYN7aUfHB+Bbjz7Po96WIB5/E0D/bqL79vKPw6Zfxe28S1pjlo8bVzKLMeHcY4o3dlG
bn6rwgKPo1njy4si9o840PTugWpdKJ40/STDbvafpTBf5aA/xJ3OeuDtYvmkYrVjSrHvYvtuVt62
rLvzCGu1Nxjc8QBRwjjHHxqz1bGixbHoiJ8kn8PQQjInX13WxN6r8Tj6mLeHyv3t5y8R7+ZEH+TA
kCupi33oc5EoqdFrz7ExyVXqPeGFoTmm/REDBNZpA4NNjf3F4/zAhOmVsclyE38BvRXMlXbozJPP
/If0dMtGqxAe3WOVuY9AmXonQMO3B+avCuE6FC4EkSx7lrrQ1jnM7qMvsnMn2JFxzMxQaHN1KQnv
/NScyA9yKlwPYQgrlmXab9/wGxQvFfQd6suw1vVpOxGZbr07P9G9C5SY/qunxTFg/K3vSMRzd5hd
WvfCjjmh54xB4Tj6TzdPo3vPytyTXkmCqyz22d43S/VSUAMA4DvzH+be4pPU2uiDZrJhnzKAwcWn
OUbQ0td7THwPJSYiEQ3bZWn6SuODISa5F7Wt/+Jbej/hvsyfGhDWfeZM7S4Ep/5YuLW1NYRsb140
1Uc9T7ITXsT6kfse52MOZuOqJwZ7X4HleQKFgcrsV+wtSTQcdKMpT0Vvy0OnYawQNf0DOYLeJpwM
7yDp8FOYnFN/1+FBuxAVkQF7TbkeHZ9Bpl82F+bi4TGtu+ZIWTnADgU/8WWsfT73wi0vrS2MdY6e
UnjYrmB26Mlj4bXiRUdG/1kivJ+S1gV7487yZo9z8U6hqH9NrBzubGXx/niNzD7xn3WY0ywHab6P
khs2POfJ8ZPogVbb6b4Z/PJqDLXz0NvJeKsLPyLM9tIz8mq8nrj1DLMzLAxEXtsma5bHk/lOAd6w
HXHdUCY/psxeRHfFYy/OExvmR+TEYk9kwgN6P46fKB75HbOW9s7B/HhLOyM5ZPEEMZQiTzR0EOoM
jrutMeVyhw2qXblWiY2pn118H1QpFHaS7XxK1nYUSiyZtQm3TyRDxnHpQLATrukrtCNYsyxPH4B/
zWuJqIbVSBgwKWeSZHMuSfvHuM0+xqWAPY6YfbfpdDOpe5WrMpv6RxoB15OB5EmgvyhwIXfV/NNJ
E40bb9M5mzLsn0LNffby+eZWCqNTurdJf2OcWdsznGi7jbFAjNDcqOYEihA4gsw6Nv6NreFSnNh/
dfE2aHBgp4SaScP+AgWxtszkh41/eSoQK6XaQk0JaIga2BhsrHOr0vPdqydtfanEex3N4snM7UOs
e9fU7ja2wSA0sfiJu12vrqZevxhG6wel1rzNcwQiTMacKDP3qbf751AzbuUEfoJaajyI6gw09iC9
6ebFssdmhunR0TDmZ3mvNmo2b5MH2dukWIHamMCvoksVD822SDiUNxRRoHZv+7rd5o1mbsqgwR0D
LrQtmsVAT4rGI8meMypvnv8yH7r7c6jxT9Swhcj4l6GLZ7uOawEW4a7p2B4sqn8ZuoC04MREO8Le
TV+55seneezQ2wYYhxr63FF38+o6FnK+Z32KHobYdZ4MNNJbHVYuSQ0378ES9Nmn+H5V1PLWTMv7
4yxvUrS8U8SYwm21vGfG9xu3vHsFev8jwhsDlIJXs1veUW95W6flvU2XNzj8fplHaTVHuOzaUdI2
fZmWt95b3v/aL2SQZXMFnaLxwVkNFrkQGXoHjKnTJjfq8M4k4Lotl7XFWFaZeVlv4J5bK70NR2x6
g/W0wJruyYJyPpdR1D5CQWke9aLJTh5Im2NJBODGWJXCn2WlM9EBQDuz+rnLOugsKyL6vvHLXFZJ
asXjQ1QWFFNWEb3cy2LaLeuqFkszyL4X2y71h/2kvOgjLzlnlPrkP9gJ7tvIMtVLb0VcGIaB5VuP
BvdUTQMtIYjnP0NoQAGFzGua9NjkvzcB/BvGblh2Bkzx/RdodO9SLPtGEvvTb33ZSyjiZIi+7C/G
stNo35sOv83iIJExA/TN7Ke37E7Nsk+FIo0OzNrPxbKHRctuZrCtxWG8uDig9X4xJDx59DfVq8o0
mpcBFe/NmzoU8ylOzdfJEQy1ss6c3gd/ROGfLC/ZlpIBlLJcP+hcEiBzxgHOJBq2QgrFqJ/m1ygC
NULVcnQtGVwTjqmQ5W1t72qR36xtCkR/2JnTAW4E6cLlpmiNbePoogYt9v0dqZjJYPV5jWCfRi7i
YcqjaI1YkN4VMPd+oMybpyxhkdjBGuC+6ho2J4WMxmp6kV1QHpZe3vdW6oegcEyn2kYhNUE1t4V1
Bx6FgVfmIkO24LR1pxyDvqoeIm6b+0Gz3+ucUU6HUrSLZ86VM48vxLeMzWYMfC18SpLqKSVpEmhD
Um9mFM3roOdtQHTe/8Ul5lXzcBxZWGyCpsTuh3V73WumFehZr1hhmdPHlUwfvMHVzl48KrA7YB+A
dsRPQme+77ZNcoxc9yk2kieviiPyCr7aA+Fr1lT9HCUSckDP+Rht3bHn0NOmatNb7kds6MxK8PpO
k6bWaTVHnIoVYHZjOtecP6hv4f8+8GCsE9G/OZ0Bl8Ghxj0HxbRWdWHuqimtFxJVBonZ3nlRAW0p
p1w50kn0MUxlrKLXP9JOv+dcSFLMHSvsU8NzCeANR17+OGgl1zEvjXZ219GnKzGHniMB7ypVWNja
aSqDQTOMHUFsijwQTFee3dPGZfKuEalcwNtovIDPBI28zceAHfIwGSp+o6/0wzFSThBOWe9S4bU7
YCf1LpzTjscqblbwHcY1hr541ZYueU50jbWOlXfdJg7BBWQbjhYlcHLrzsHiA96OE9MULV0ulMe/
FCHtFP7ErTVc7gNUGT3xdc5BWg7+Lcu07OfGc/MT5h7gsqWv70u23UsRii+jbLInZWJo94iw7zFV
fnGL+Q0Y5Ski3EF2DraKqUn7WhZkPwuXzy71o6/G50yRAmJeqapBuZ9zvExT/Il3421I35GDL60H
v6o14/WUiztoa3QKqfy328COMQpATV5Hs1naptZK87BJcOmQ16Y2+42Fss9NhItHj/lxXRR2/Ujo
VH8mZdxwezV+jgWaKn6qZ1GnewN8RKBZlLs7KWF3F6bcWQrrhP8fV4TF+zXWbBKFxnGAgTThJscM
sQgWFU6KvjhEpoZoRAfsW0KwfIM/GufkqPqF3CpwxCRtP+OeVdmGmrloLTpqA2yHoZdok/IH2Xbr
IDWATtGAi5o4T3ND1mzv+ibM75xQGz9D1p+TsdQijcuJivYRca6WU5a1nLeG75PXcgYjawhNbyi0
Tfh9OmPFtZ+95chWL4e3jk/8vzLW/6Rg0PJNYtf/XsLisPSj/quA9ecX/C3Y7v1hIdSzrpvkXWxv
4YD+qV95FhwM/rPrsqVbzjcH4+/6lfgD3yU3MBxdJtrSAqn4u35l/8FXLOBpTkCW4PTznwTbPXcR
hv4iHNkmOhjYDMN2gF3wR/I3/atwVPVu2uR+ZgHWMuynRNrzppui/DgK0TDEGzlZVtl7pDLq+2g/
fI9Flp1N6Aysh/yPvcspR7xEha1eEzbEa87R/WL4XG8OkCAjH5NxHZEXrV0XxPKAxY2ZNe1OKsLj
odoqPyjCGjvp9fMrOlsBelC0r2SCJT4EkJU3V2jjHQdpWg4anVepKtSWkad5hM9nPnQNFS52k+PR
NRq2OR9HhaQucNwYpma94ko2bWyfTXJKUt9qViTmcm7y4awfVGxrJ9Kj5NpAzvRLt0XvkizPwudx
aQsj8uucXL/oP6q4bAGcaZ6Kie5O8UtI8vGZxqTB31K6zZ9tgeICUZNgnJPpbH75MiT07UZZcUTV
l1vCP4rJZ1Lbq4SQ9FnPEmGDwfQ5eBQiIxflWoziykL5nETi6d6P7WTbZyIHGwRxf6WrjlIns3ey
7iaJ0P0maqo9hACRSWZA9/9RGs4ycNUw6hAvgLMajYpih4o5PyNHYWvuWka9uqe9YDq4A5lFOhO4
fuUVSX1kEs4NrHFny2mcQ2IYcmZCyI6ZicTfm51TM0uwfkcIY5xCIieBppPa9T7RFPU/BfN8bz22
Or/dqPO5/M5eFn80UaIONFGLABs//EphiEen0IngE5f7mtqUS0TShN2u0xLrZ0n0+d1oe/eolQlc
ZMzo95hGzWc80/VFOSpx8AdyvAPqpidaMHYc/VdklaC9Mhd0jp10pz0Nlv6tprg+qBBjJS2SdnYk
HiDOdp4MR6dt9fvZgdBsJdqAPb5zPrKoT5/wV7SPtm5HDMzoUbqPZ43iF8IK5KITZ/SvOj68G1on
rUIwRaiPqj3r7FTCZBgAiGWF66o7gB43M5DMC/yAeiW6A4jjgVXknL9Sfj+ew6F5zPQ5/PAx/x81
ZdvvgvvZSQBR20uzNvmYCsO/1jCKKHkSAFNWZV8B+c5pnKcaxidhsHKLRsxbaq2oSvOa2To0fSOJ
tbgYP2L88g8QaOetNyWBPsTaximrj7LMwk3oYhav2l57qWzsM9xGjvrYaVvRhdjiJ/vWKhv5zvG3
5ARR12r7NeSMy9GYa18hape8e0RezRu+0qz6Sftadc3c+rFCefBj8qihRRTXh69blg0ZWnu4ZZXc
CFw5awM+JmcLF9+l22W30Ml46l2BhW2LRkoCH38gt0Z7pEiuIEw76pNghpV0zrEG8Dbo1sCCQL6D
uFqbnSEKuAGvYf+c+3Z+YeqGlIXquEsZwHb33N7o/ZAgLDEb6RoSl9RG0kAJVOJV67Vaz+Mqo590
hOjI1x5yVVBADPCP9DVF0c7q+HBWwkm1cZt7Az8kX4Rjr7AkcfzRGjrtPDgtfpnBE+ortvJuy2xD
23pu4vBYtOPOyBx7p/e2HtiyItgJwZARua7vMrmM3uUchs+Cj3bdtRwfh9KhtIaTW81UcnFf6ams
aFdqu+3ExP1CSFx/9BinfHhGhevPjOv+lJlmcbBEqO5CkhxbroHxb9wtIT5d5aDtza0+bYdJjQGw
TIBlM0L0ihRN917aqY7IzHBxRewn3i8mUnQpRTg7a4R5qV3so5by471fyfrNNmt8APVUb9AoJA1c
RQtvK+8f9dSoGTB1OKeyaqpQyoTYNV3V8j7I5o506uIZKu3uU445rfGmv5+lczIoWD23IAXealM2
J4kO381Ke+zKXh2S3FMPE1eHm9tgngflTfg0z627Kj+XNLViQJ3u8OzFGxr0+mfft2heKoccaOIo
qsOsSu2qNzSPnCyepttQ1uk5iVjh16rzjSOG0fcQpPS70JR6wfhdXPiY1X2mZvujdajMgcioY36o
0j68yaibzlE/EZI15dygXbQW2eoWadfxiC9kM5VAA3atwPa7UzrN+Ojm3iHe0c+nmmAuvMGUX908
qBQqAv5QclBUXIcZ0XXCQ2i1JdXvWWRbiB4ZY6+OJoh14yZg41XUkUEhTrOibzV+TG3JU7Z8b0Ew
8a7NYxPSgZr2plG6P40hmnYu5bFl4OHEXlt5So4oNUaKd+E0a2eEdUy0tkx3/cB2X9bV1qD+mhCZ
Gh64si7cQOYCO6qM1cGfJ7kLSeKt4zBMX7W8m59bCG7nGVIETnRRmcfSDgHH5USuDlK3vpoJY5lu
DOqTar1KBXORlAgGfYqSy9Ej3/hVjfZUesnF9JrJWzWsrU6U/QDuHvMYq+Sa2LXEo40rhJBQKCFF
DL76GFhPE8IkuqVR+JUX94KpUHsYqnh+gkFj0mxRZN2RILz70lSqfx4T44tcDRDGOGy0lZCpdaO6
Tf4iNSq5BC7g4skcGeY2to0cw7U/IDRjviS1GJ4ES82PcBQxiy7DV7HylJ7bK1rFyme4JOmv1KJK
qrOAkQAbTRggtsZ7lJimS/dPZd3aqsQGwyI6SujVXuEkx7l0+jc/lJ+4Ufe8Wt4JslUSZGZPt7GG
x7QyHnVSUUyXi+E4VeGVmxiDdvzca6/Dc5ATqaCgtOYl2XfcpU4j84HHPldQP5vO3CVUVB3w0HPo
cOD+f5ZJdi0mhkugXWvucJqzq+iGNvH6IKcBzEkhQJsDqSieaRos2FrRMLYle8ozVVQppdD05BIn
ru/AWI7Pqpxp71M+FtkUfapsUmpvC0d78kYBcmiKkQRN756EEO6YgT4G+t+SV4Pr3aGvKQes+7z8
yutE7QZF1FFy3NqPOC/ewJJMt9Bwi6+ecdZ2aKhXXQ2uOz3WNt0h0J05mJjN3pZ6dOaWPm1VH1Uf
Ph2Yp5F74W8xawYUCedWwrs9ZRrbfW5Wxuf0De6IvyEeuAWXvoRei0/pN+bDbyB+hBQxA11ZMCDj
QgSBu8BCslBCMkyaXN4hh5Aaa3e0Z8R37sIVMb4JI61BIHGhjnQMuHY5IFsqJm0XrXz8yhZKSQyu
pPOsdm/oEEymhWXiLVQTsfBNqKDFs9INZw6dcM/83L6lCw8lLFnWC/w529ICXiTi89RGnz4QldLw
b0LKZpsVbTHwBsfiAUIm2JVqIbBEoFhYE7NuZS58luwb1VJMI7xxfeiYhjgLzUUsXBdraiG86ASp
3ocSd8axp/5lBxra53dfpPZvDlnMkjFOG8TpYljvA/wY8Y2SmbOKsx+0A/8Lz65hbHE8zx+EsAba
CxyBGtDh92+0Cyqq88BhckKaIdNj6Y2C5BT7nOYWfg00cJKWhTSgeiA9WE+pMuQ+a9qGIyWDrKFN
TlCu3CsrAmGshYzDFKGvF558/FbyFWczQ0lcc86cr/U3WqdcKDuMF7rHojbrM++r03H2gsVTL1Qe
hYd0WAEd8i72N7an/Eb4hJxwNx7zyHozGnn6OFO9XgUlvOd3Krmzs/WNA1rQ1VciZPlGKSh8Kw6r
Ge4LCUVIgWZlfpI1IDOab9CQojxjDuSsEw4ErBq9IksZp7oEzcpoCVaRFBwx7K45FCrNrj2Cerpp
m+xi9q6496Ruw0MWViyIW+YZDeAQkWTZeRfXV+K9w2py8DxfQ9F3cV2vM3yx0Tqkwm5c26kHTS/v
SDVQRoxnhJil99RMNb7kWtVTMHpC0NhF+5tdOTtf+Sl8wZJEDvNKY01zdr1j1frR4zVfEQuHsOnZ
0Y5IFxTwmHpeU96ZlfO7WkBQYV5ohzEJG7Bh2oFUGWpIfMVE6696tySRSEHMo75wpHKMvrtwYUsp
+pHXQGp22nLFECIDaAuLeqBtsOBsyE+CwyL/rSNRbGKp7U2XVkR+EdivXLacmMDWEhh59eshRf6V
T/CdiDKn8hnAASPUejGLJO2N23lOJYB3scyG8A6tmlbcjlsuI5+Mks/KSTb0PXrr2afTXOjyAxAO
ICmuZg7zpE3bCQx1Q0URWBG1B0GmI8gGA/axG86bkEz1xsp7rCHUg27inoZaFxwpzXJk1lNzo6fj
D6LgG9rl9i2iyaaw89tMVPpuANcU4KKZL7x7pFAsCmTYegxMHlNtkSU1LVizjXwIgVjsbNqw1xB8
uqDSO8LudkwIEHCHtZ2B73Io1aYeQJUT3k9QrChiTdVkIVF2WH0EfUVnd+oS/EIpn69Xp2KnxiXu
Ztn93tZE+NItWDbiQUzpom9aG3pifMLYA8NtXnBu6TfZzZWl/0LkffzRWjI8NaR8nX0NoooDjYNb
sOxk0GpIimtKF/rxqFtG/OCWcqTOz7LmfTlC0GHj0F8l3QyPrS5L+CO17eogVNLmiLcX0kLvUY6j
i758te320Zp4FPXWeyJy7ZxYYBiFxqW3H9Pqx1zGkL9dBDbizrTbNKhdht7/MqcugoNMC9JVdha8
3Bl/Fq9cmb5P+GzWownPBCpG2H/wZsWYvcq4op032mXu6O7Gia0awDEItciXx2Q2x33rMSVYeZHh
B7FZlycYFAwYMqkPL9JR6XuR+vEudlucR0R6xLPHwcWmLj1Lx1UI3Ojw3+nb/2T6xtAMHOO/n779
36b5Z/v4n1/wN+u4+wcBZROKK6Zo989yt79N3/w/uMjyZ7tgIm1M6oiM/5i+ETaikUi4fLHhLWVt
/5i+Gabv+MQahLOM34z/ZPrmGst07R/TN2+ZuPl8J6Z8/tIIZCz4x58/HuJcNv/nfxn/u4jEoEdU
++zDiMUT/6sWGUFnhBYZwqLDTucVc3rnxSG6EBcdj0pBObUCTzY2apCJi45ExBhNaV7kpfxbabK+
VadR60J8OYsihQ0M8YoZ4K/JaPEHU2weH22MYbDyOkbmtk/fmUvLRELi8M6Oc/Mek4p7leYE6tvU
clgdfnxosJ9eUH0fPZvrPZ/gtNNLNs+CxrlL0kA28wAS2UMSoN9yIUTcKgmBwgfHhv5d696WENVq
r9iKSc0bW3U0OznULBWVfwmlZlx7rZE7e0ZoNOL4NJn/j70z220cWbP1q5wX4AYZnIHGudAsS56n
tG8IZzodnIdgcHz6/qjqja7MOqd27/u+KSCRlZYlkYyI9a/1LWq+UwNVbjbbcFe59idTDnc99O2P
ssgo1KzBRZDmmiHQRNMx5Vx6P4fhcEVRBnXfDaH1HF3wqrT0B4VrPBZ8E8xCR0poCHnNIPF+Rr1v
3ehm/Jy7Dn8z2XxUB+PGI2pI5wRuqPhowEDRRfQ6NvZJN/nZ8dMNGtxV4cDzis2SIszG+IFDfNhF
o/2Z00HfOou8iSBFtrRaE9ekGySG2A+feuuiP24KWVWrxkpf8xgzjPb9b15qnlNFOiqAFdYOap10
Y7MF7xewSTFANgytWrG1vSqKiko8yh1GA2sktsC7TC3uopncEmJDgc+vdr5PA9OJgoP8PRQWhvmd
K9Y5CMn3ohVEt1lyJcYsDwdVOvITOputrDU4P5TqjH3eNcFtAYXmZI/e9MUYtl9hP7WbVdWOoAHr
YjirOLs1rTr5AjdYrbOJblFLYpgowM2v3CTXn3XWQdkMjAcLW1bW4Y6zpAVHcDaUfSuiIQLBFtxl
WH0IGMwPTOHuM5+FQQ5MgIpkOLqwPUmtashrZhaJu7Cvmk3iTj+I7Y47xi/vEE7669b3jjgXeFr3
dCE/+H6HV6xu0tMIyYrVItjZKWeyEo8MhpJyOunMv7UMx33Qsm2ts+9HKWaouLSaTTkZib0mTl6A
3SzyjmhfPkhj64fLiSztebObvGaSB0isC5lqd7CbaRaPCnPPMZWiNMNIBSOYgFRvysCz3/TIQ9km
92YT40ffUO5Vm6OSWwLZk2TuGife2ie84W8iSg07TkcWwWHyU/G4KqXq5dlwcAEeOog9GoIWeXjw
905SE2ZIFSKqQU0EJdpFQO+1by5BzD4oaV+g1mI6EJRW0ylq4pz+sNHNwaOXSkG0ZDNXHak4MKqv
OgMAx+umIXcAvNJwLYWRUmtOGSUz4ggf8havDONqwGIupVO2x1mycptlHRZmEu+iwgjaz0r0+PAq
i2QZRvMJAEjZhO67SavIazlwx4Q6je6UVMFE6bPFCuwRZMf3JgDIoG4zT1x7zBwKguq5pGI+y/mw
/MwA6exsSdvL5wzDAKepgFuB4DjW2bJ4bNlt/hwoCnY21CxQUZ+liZXdeVhV0t3cOWWwLTQS6U2c
lXz7Dm0/e9mPQm8Fmbd8zYEcR+wkEZ73RRf71tFrlM5/cFjukl3oZw31dwWhtpXTW/NHSYMEEbQO
F1U5m1uO6rxgV2cbTRCIN1qT7T5O0Yhm1vTI81CjPEOId4zMGDlDzHxDuVjr83hsrruqZbAZBzPG
qNGbPwIw9GjfDiNnWNnaf4r1+C0osc22ZTO9Be7Q7OYszu/t1OKxR0B/J8sS7RpCzK7v2+BNikZx
7NLO/G6Z8+dAqGGjzK58iQy1qUOOBy0hxUL1+uTxcxmBatOCO9aRuSnOWvWUqzP/5xPtcVyvyUpQ
Q0qqtLmdFK3QBn2+3Z6dn6Zq1CeUtxVlmQ8nntovvXZGf0fHhH5MCxDED1HekCakJivYkOz3Ti32
JeJHSoM/d/MknA+5g0Lcm3lGG5hvAWvycvLOQ1LQjBKgATzRFab7d6I9Wl3NFpmYXdwnDJIbnBpW
gvqVDeP3MU4jcGBcyxYMcJyNQtaLQt4uPN62v9N6Sm4dg4FATyD1OrC7+ynrnGMUe+l94NGj0eZz
+WzMpn82wnx8a0eXKhYD6y50ojB8wjw+sdNWRX7Xh1X1vWTkd+iyeThGTGkooeuC4sOLEuveaDGa
+EKHt6PmIIBrIA2+SxF0rzlVRM1GUb0Fv9TuogyAqR18BfncnGsUga8o7geoAIBL8qfWaPx1y1xA
reF/xDFyCyPuL1AL1DMyBDBvsr73CJJb3msxGOk+6cmE7tALvPxskdfkqTDFW6MM1VMlm1rS3zeU
eH6C6qv3jeHb0Iiuhr0aE39xC6jpFiposkrGubk1qsS+lnlrFNd5VjtPzGea4lzWY5Bhkq6Q3iWY
sHQbEsb85lO0CI6wDakgrKNKXNEVTTLYUP29l4ngyawwL5eJTjgI68h/huzsvs8dK0gy8VSl93CS
3zx4GfeCarlyRe/geI14BSta+N4hGkJ7a0nXOhHZ1sfeEYzDpCPLjdsNC444I9XNEUcVDRUsk4MH
LJzbZ6pfjZuoVER4RtkypPIYzKnrwmCTv5plsdDz4P6R4jfhM3TmPOVbEtDVVavHTuxm227de5X2
+beilVx0lZR2v0VniWwYTKGfXoWlsvF1RZ2OCKcLQx1M8MiEl2jWK+97VxjTLWfGWNyDAqEWjKGi
7knZ2iXSp73gLOuYtw6ZOsepWxgZQ6IksLJhL1XoynNSUsyDp2Ho7y0RJfLKqWfXPA+MA4qtCQkm
QIerHsJqrDnYpcbUPUQN55qXqCCvRkEerB1KyQWT5C01MD3knhjftOX115lvBftBN+FTNBbefcrO
BS5ExHMfnwtGRme2KYANxg21r+LAelbc0kDPgd3HCt1Tqo55o0f/pNpqPreREyzNe7ZxSuyWb6HO
UUC5IHr1YwyIVq3GCTBNZ5s37UT0lj6wB5Mbfq3aBKM5TSNk92sceVbX4HZK5HPaNpyvW5LgK7P2
5BP2iVhu2d2UfMPVeCQx3NRnVdExubcdhwmlR7UaX2tNsmwdIfbrO+il5i3WKvs6N2L72Rn02OyZ
mQ5EvxemOi4qD6m/TtPiaASR/TxZOC121TT5EnNM1z2ONsS1ozUFGbmnWX6yzPGwjNTg4gweYlti
RTapNuP8wfS1CLHOUsc009jQ+Na4b8H34X1ZGnjL2T1Xqg5QZ9xTM5N+K4WmzCTJKPEpI0L87vzB
gpE+YjvPP2vGIPsma6xmN9hGdrS0Al3HUab5hHPFFow+oaPMTbzQqH7Jrh5jn9lYQuZ0a1JjSqDH
NxcJloVgP4xs26/dWIf7thpESAHYON9mTgvlXU/Vj7qdfuiLV0xbCSM5mo3wkXUXT5mVF2m6+tPh
7O6v7s1fu17+euLhbPXnE48NydSsKj0enSpnTMS8WV3B2Emf/v2XoRYAYCXJXLLDv1lEyfyVVRQZ
w9EfFYPDVMqUwEnj+P/i7RAk/u0At3y/FgUEJidCznO/vh0rNIQOQup85q7sPtJlhfcWeDAuOrxh
a2ozkp85EBVQFboQwb94dbF8Wr+eHy3Lh7hPT4nP6fb3t5kMMjNqBZUUX1i9A2mqH0VQeDtn2Rz0
Q5vfB43dwBVzprdsqsaNZDfRm+HTzO7CuWwziCRSEMiuxmPfP493VFZVR89uQGiQ7sAkmc6Lf9AY
kvy2VYpHVeXTKlKnMe1Lbnj+++/tr2+Ik7AJHyY0LcyqS3D7z5cH+lTs51VXH+ekbemsg0BUr/oq
oc0JH2bIGi/ROf+QVv6/8em/vqhteqZDzQI7U883f7smFbNKp8/ClheV89n2AaAV+s1U8grmUPPx
9+9wOdL/+pXxYth2eIP8JMdZJIE/HfllaIsyDwrmV3NibF0lPsfM2BXmqP/Fu/rrnWZzWbqk5n1E
DqzSv76QKFrInE1SEqws8NE4FiZ29v4W0vjfvyPr//H5LUXGMDhdW5hUVfz6SqATndSd3RwUmOWd
4o4tBYp0LGHPhHa3yQRKLGGChHNeHQ/tbTZ0tnMXWC75OrZ83WX3V6Mrb7TqovkwXvaHJITZK/79
r/qXz8SyBJcWqFKLj8W1f/9NDUdqVVHbRfTH9I910Om7sRo5LP3br2Nz27tuuChJGP1+/US8Jm4b
Kbv4WEYcBjbKF2UC5zDPry6v879kiX9FlsDpTPQA89vfKINX2PKy+KP8/LM3z/rvf/lfBj3/H2xl
qHjBAR6YjhdwTfzZoOc4y130B3jinwKh+w8R+Itl3LEDFMSlweqfAiF4CZ9LLOTqCpjeeM6/IxD6
v91amFgQ9Wx8dZAdAgfZ7LdHk0m/CjPIad7T2TCrNYbkiq1ASO6FwIXboVq4kfeK+8ekQ0R5VFbW
bRb0azkpaW3aVjh09ELsfBxM9tE4WrS7o8KvuA7GTu/wDOgHGD7Epiz6R1IXLs+qnvLkEHdVeeIX
KrCBgUYZws4bCDJghTl7NNaeSAiUya3bAZZZhZ4dJ7DZgQOfFLZBOM+Ukj84pcaANhfTRMGAP9ug
zSgvCfeVH9NmABOedRnWSsdwlK6FA9twl3BrH6UPfefCq5gMP9tYY/nNLStIsl1kdZ+8OfiBQRth
rpN29+S34PvWkHxyhomFFe0HvF2EhAcP5OFQ0gDjOghdO2puOB4nAKGplxmj5CbRFjwgsFlOAVi9
ns0rkeFeWtHrp7MVNqHIPxAhss2DM6cl9FqOoj61AoNHH2pcGu8Vqki44sGfnKuoSj8admLnlrZ7
k26KymeUInxzBrI06XIN2ItccKYUVv+qjwIGJ1X3lotsgMYAtvGnmA3cdY5vGGtD1/WZcP90vTAw
8GS4IZiNrl3Iqnj4M+aaYrgzZqO/Tyne/WEXsYE7Io1lvp2awfjWNs6EJxjARbV3mta7M4QbEWLH
+VGu5raHsBhVWN4quLYgHLWpAczPXl2t2zywvrwaJP0aMTZ/m31tR7vOQMMhLzhzxkwU4hh4ZogM
qZ8R0+giIzwBKGQ2Xpf9Rqi2uasno76Le6UOtDoTOEgD86YZE9dgK5EWyGesWdvMLeoPk8PWjdmn
dBVNzSTWFVrPlaG02BJuAEA0Mj5vk6Bn3MQ8f68xf6ICW9OOgPf46k/RdG3KMjyQzW9fxrpKXp0w
xSZnz8FAsUEQUAir50eLLoG7UnroN3rEBkQn9G1K1eQWrm2ydmoqoTt4lFCSuDz9nC7pyBrKfdtC
PkE9glDb8isNM64A1MH52uioT6siFV0Rt6oOogAwVdpeuXfNuHhR9AGvq8B+BpVRIOOQ0llC9E1/
6gW3wSokALdSmFoeQmgRR5JY9XrozGCTBEl7aiJlboivTs/UZdbIi914ZWs4SbE/9+sGVWhCNKP0
3CocPn/aJeWd5VrzvY3ot5kQdG651vH3MBOtN3HFRDUYHH1PL6nAveRaj7Mc5hcDZfhAtmAKd0Pa
0Hdpj3X5QuuqeEW5rl9AenVfXazSF99y8YsG3cHJ+NnUDVA92RKPupugiL01bDPuS4TwjyGMsCnC
kgwfAQGa+II4HjHG7qgmCHmmYCBNbXop7GkmkOCJj2FGnlzVRus8A0khxtgT71BoUN9BAPqUlJD0
SBmObOPCjdCIvLZ/sAMf0bhOrGNSVPmn30YhUnZjQgBlCjndpn4JbpfYU/0lksZ6WS6EJ3v25y8m
LUO9CQYzf54b07+fivHOr1AxViOxbbVmSjPwPo2m3+QUE77ZVNcZ+84ZS7qM8zy6YRfewbOys4do
TOTPIoYHtgJYA+A0LHO9ank0H2wUD6K8dmR/ETMB7NyGdkOsIBPeE6UF4Fu6jj6iOXflgypk+eEB
4Psp+g5iWRXU+R2wvl6sUekgE1jBeHYFqEEo+xxNR1jjG8eEtu0k0bgVAbi32eMaUGpqdtCGTfyS
kYNKZrpNDR1RebBlLPjq4C1dzIRT3LHpsnPCDRk3Se25ACUCLdoHKXL6Diuk2FWfdO0j0Z9k63EI
OJpQ5U+0VkcPMsesGi221XIxsBo4Wc26GM/pxd1KJoyqrovntVrsr/3FCRvZsjsC38MfaxGUPVrW
ZJ+9xT6bY25LVtZiqs0Wey1jncVpOy+uW4wo8/3gtXI4CMwIjwSe86e4l9AzFtNu3zOWsILYvLcX
S2/ihN4ZomxxlWRdIWmUjettttiAC9Cgh74aXVLpylDcZItjmHMz+27dag+3ZoJgsh6oO7rmVhDP
hNqre9lgPxaLEXkKo+JjbJvwgwwtvAjkLmJFi3nZ0trfjVUinnorCbbzYnIOaFCFc6rqHzKSw0dY
p9ihydToYJ1dbNJzDzbVo6LUWCUXI7VVfhECwlq97DYOnYHXqW9sY9qIxYVN3K86p4szu1o82v3F
ru0vzm29eLjjxc1tXIzd6mLyJmHFehvUYXMTooJnTJculvChHz6Mi1E8LuiijRf3uH0xklsXU3l1
MZgPi9c8Wlzn5eI/V8WUsrKrVt2XF4N6u3jVrYttPVsc7JQYNSxei6+9XRzu/uJ1jyniZnxmp+LT
Lwb0ckOg0WELtmlVutjlhejNZ8/PkxfWbOz0HFux1vuLy75c/PY5fpM9B93wOYyVR9e1ugxBU0z6
meiME153rPsJ7MMnUpsY+pvF2z83humc4nKyX6vaBK0wuuqISAw7x12yAf2SEqBMQDwwERJXThhn
AKlIE1hLrmCu5uFuLtvulgELAqTha/2Kaar6ipdUAjYWb58vSYV2DvJNOgflQxg1ztlXxB9Xk9d6
r/oSctCDzXbIlQ76TKpq7zpZEhE5FUev1ZKSYMNGYCJqSsITgFXyMzpT8MbBiGxF4n0zHQaHWMTG
jVhsbMmSxQjVH/JrdgR0j7EgvJgMysVvkF6sB/XiQogXP0K5OBPExaSQLn6FcHEuxHTMkC5f/Axi
zOMrb/E4EJsLtkI33h6JZJd0tIKtjBS3COfs/n26WCWSzPHWOR6st2DBVOLrx1WhFn+F/YfVYnFd
RIv/osOIQWKKAp3Fm2HZ7Ue5uDWGJevRLQ4OCyuHs3g6hrB/tBaXh3JyhY6olpKNPuCJlfauuXR1
MQNn8JM/wlI2X5vFOwI/bT4kAx0OW+bnyYO42Ey6i+UEnUDTz2ML51vY6ul77Qc4pyee6nQQ5Xip
WX4iSg3nS8EhyCC1NmXuYx2rJbJwRJ0Gj20sIknjDXyIIdhh+skafx+lwlrPcZfdpcTRYPdXU7Sp
JsNgqJQ85ab06Wx1oqeE/IixruzKPnbO0G2stILnAqvb+Fm7hfmks9Q+pPnE0ltJtcPE6NCn1dtP
A7MHPvIdbeMYSFv3ugV3dS7MAfxugRtoDE1QGWVc0OZE4x9Qb3nXBrqGNm/d+EVi3SBiRtg5zeGe
wVdyzubc2mUGEP21tlhjqZERBN39ZvA3Par8rivC9MYaIaHKphiyrdESdTkUmdTXamaziBDuei9u
T4Qe4zhg3o2gdoc4LxvEl04qL9jYoyOJDpQ42ecJj58/iHRjd+wSd1ZT5v0qMjCnrVwknmes6uHN
MMF4kb6mfI9ek8nmITbOV4GCoNt6lkehmDdR1u7jJ8JN7r20XuXe87ADioWNMX7jBjYxLQ4lW2gD
miv3TPnoz6O8rjNXIfhi3SIPUAfg3Y34K/T6QsNjkT5IVPabx3KpS1sx2VkCuT7Y2QNmXbGzW7uN
D0Ve2+UOGL9lbLoWrAbRHdEwRDBxY1PHDebd6agl2EIfZHZOMbzxAX2ofSxxzdprzZ59U+PSu539
vHuDLI6i3/RTeQ3RdN04gafXLRyOaTU5/SJFe/kbtlNOaHjR0+K2LTE0r7qmoULAjfGoAHePInJL
/YhGjakAVwiFNkAPMBoVh6gX4WtEmhCmlB+RW818LtV10TXgb4zcoZ+3LidKULzZem1bhI490npw
CqdhGNepkMlzZQTFdF9UaqI2PqXCpFUOfu+6KdS0i0ztLwS8AABuLrk4brXtcOTIcxAMiwtqZtEj
B85aNT1wz0CUYLg9rjHhsdfg6X/ScX9QXVGexsB2XnksuQ9exXKQpFF4KvtJP44TTWjspubXYZYM
zUIw2fTHMxdZq3hpM+CRhAP+fyWS/4lvyqLj7m+NU9cfn/H08X/u1Mfnzzb+RSP545/+lz4i/hGg
PXhEDdH2uABAYP6hj/jOYq4yTZMGH7bEAqXznwKJ94+AfwCXDnNVSP0yv8h/CyQEGxFIsGMB8bUp
e/+///GLUtv+9uc/syAwX/3ezYuW6vGsEML1fBJpixbzZz01IWI1ztnc7sa8i50Nqm28t+Du3eLD
MF+oZLJeA0ZyOTewn58TnibWVVBSrxoMSfpYOiIhL9ZLVuRhcj7dJEMcL3VY76NKCoKKZdfFL1JW
0bQyqJx5QaAQK1ELsRkN2yTEkD80YKiffShR3A1df1uX5sucqtGgOA1OslsXT3IuqRp0fftWEf07
CIdHlofz46hk0d0VGX1LK9t3x+UMrguyJzGMYy2A1YDEbjlM6XI+UaDMZkp1AfHALuLsniZeXl0J
1TyUo1fMD33YshB5VKE+1mYw95uUlNBjYVVFeEUYC2R5aOYY1QNHxP1RyJzxNM0V9acBYpLnFN15
lHwWqP5nbMRhiD1c+KT3Bkeo+2nK6k+H40qyByac9S90IYaf1TyP32drqKyDUGFT4GSyszVtXSA/
E5ALzAg5EhW3LgS74WqmBQ1wGCbkm5EulnfaNK2nyiMzZ6souBfO5O6Zb7LXsW3jqjbi2txXeeB9
n1Ti9EfbqycgDpFqQCPFnjmv4hErl9eriiiL5DRDhhUoaDiZTw7p+reOyMwnJAQGkWbr39AKOvnb
NmiAQLNKUKxJ3cnJt4Te80wfAgCXqtjzqTjU67p5vMqpPgpXxD/ng9tnw1paWp5t5LPsnQYQ74Hn
uKFW2ixNVIuAyYiRE8KnVixf1RHl7rSRyGRddwWFEbArNp1dshI6mVgSG4N/SToSTMx+gE00ViNZ
TLnhYNutGUSkj0HL/qglnkMYjPfdBRH1KeDk47V0xurDXLYaTBntL5kXwaujCi5yC7e9/R7XtP8m
dd6v/W5cOm5MWDu9cUhHV244hiZ7muF1jKktTE6eLh5qO2UTWqr47LqTe+/7bvimVJ5cwwNtvS25
pnjfaD/4oQrhoTaZRv6tVyC/2eG7IGS9RI5y7TuCZFvH2gWVIc3HAE8VI+grQJbG3g9mTAlTLtvz
EPUkH8ryIUiZ6ySV5TR7JwX8VdvhE8fM/k054DDMmrwccK/Ajdc4W0BuBVUU2AczoqoABnUXv3Lm
jjHzMgDNVyVeDnM1WsYAoMlnNcKUMeNMqAqTIYglwNys6rCPv7UD7W2rwpIaNcn2iWU2eH/CTZwN
zbDmgEDBBl0VolnHxmAx9Eosn9Oy8t5QEpRBASmLVwRSpXNeHdtpjBvXaWNFQ0kSd7vRYkyywSBG
BouAHRhVGOmTuUlHvuiVIJqQca8LWY43TuPL7hoey4B9mmpbuPkh/9dDHAx4HCYfFepVc3UFrMsE
W3dYJINqTR2rWa/LKUTpqOehglya6CfMIe4xcLELPmZtRZ8Fm+AwXTw89bnPq5Ybm1AFuafZyl8U
vyjgoirNfsJmCtXWjiJV09bEOWojXR+WGdYh4mNtYOCPKnGk9tRg5BgB0waQuT3IbZTWWXvkyhy7
Vb3gyK1QOfdqQZSXC6zcM0ZKph1k9+Sqc1z13Q5zRXNsTKNGhOcRsh1/xUNiFM+lBxodKRYHn5lZ
AEoXarpr1o1cxwENbb7LQX09W6ErNiRH8TJkF946D0h2813aNdWatwjd9EJnz2K74qA/Zqgoaalg
UPZlcN1nbvla0SZXrAZ3mG66BfiOhyMcVwQ0yH96QhqbsYV141l6uO5xiN6xo80RSRaEfArf6d4d
sas6yGQPRV+yTRy0m0rqPaDPR43giFznI2HPZkpOGpT7eqmNfrJKYb/iNxh2lrKRxBeWPRxmCTD+
wrkfDZD3owQJaRt0lS/mmiVFEszdHk5oeMbWCqINm3BGJoGcT+yU9a1BKfiHaYPXTwbLeYF8nh29
rk93puqjB1bLJNg3lt8+0Qw4fm904nyK0BqewN/Qq+CWjyGPpXE1NCTjtnFfPYJ+hBDSznF91TQZ
T94APNqB2h9gkW3v7vuy5IjoOhrUn5uGmP4CJtsK84b3Jn0IruyiaSTA9Bp8YdTswIVRlm5G8ENS
TX0BiQ8DAjA6z3AwRWdvIYcEiG15dSiKHk6VSocbt13KEcBfWulusnjDJAasnyi7xrnDVB+vRSmt
+jwVNtvOFmz7c5MP0JrxsbB2lX3tHEmb9qcsi9nIVpdWh8mk4MFl637fk3m/TpssvC0vTRCWF/xg
aVZnkJottEm2tIs/or5CZ5cn+K+UEFM+Wj64S89EkQj+rJ0+vOV30e+EE036/FpoId1QzQ/Cxyuc
XCosIsosWj/9Sd1djtwxo3sC39Y3fHvlmzkzGBhdbexTpd19JZx0Q8PfZ7+0asRLvwY7lxEZsyy+
USmNUSM0EkaJFS2g6HkUECOXcL/5Iw3NS7sHLmyog0UXTvcWVRn1I1EL40o4lXoXFt2tlFd18GAB
dhagvFXVDzSKt/q71/TOO6bt/h5GqWcf3bjMvlWDlPJ2cjSOTDN1yu/VUmgCaYCwOQUFyrhqL70n
E9IgiALZ+4+YzmiNgB5DdxXZapLjbsV/p9g1aM2QcuEXGL7fbxQ9GmtXNPxlFmn33klFtXaHlicz
X671ggIAYAga1EwZFcfTTc3GrFnV7pjsp3nQX0t/UQMejj+bSzuMu/TE5Ax9zsPSHeMuLTJZVRGr
bJncxyBe+vSZutRyHy/9M8nSREPRmXcVKp8fZKkkf02tHKdG6LUsNhMfDjiBrOc37GP+kvJgHZLr
LFqQUDDCPqDdUpHTjPb0kSy9ObodfWfbtj32eRk4iL1inOLszqJ3+cQXT+pE8M/BxBY1bT0kRSBQ
ZsH8wMY0pocB6RU9N5D1piL5u4AOqf8RYVq9h8iZ3G/wxnajMSfWKsoYhGi03bey0hT5JAgzH9nk
kpGJoujD7rp220eKGo6AJoYTaV+clLXlZphgsAJKnpkT6FKzetWBbH4QUiPkZFe+ewMSjz6TsKu8
h5jk4Fm1dflUhd3Ch1aVe8PEvE9ASFM0QemTtLcMk6o7nvrTRikfFyebHSoqTTOSzxGtSzx3Bh6T
rQh7ml5DcIQqYtO0AXNHWNIep+Y9SFKWmgCv3i3OPZfajm7sPrSusG5fuqCKJstubZI3RG8Z7VHj
hb+KAqalPkorq3PWLWmHZznr8Cls6ixYcxKYb5IpNg8MDBlGjf7ofDNDyIeP2diFd3gd7XzLAyb4
1Owt9WocwfruWlZmpkOTexXnFSoAVmtQ75VtLPjf2JhWks/sYCZhv3c1vJ6VaykfQERKniooB/Ho
seps8Kl1LzEdl8SXqPAaLm1esdu097nQbr8zw9lt2ZJcasEQlxkB9ZIIrxcmtynMFDZ5FEnfuoCs
fhRytB+amgf1wbt0jiWGC1Gwd41PnnjpjvXZ24kpSH+iC9UbtkLuc3ipK0PT9B7Mjg4zhg+4lMPY
TtZeI9CYhwm6QexV/lvm9/NdYSrje0UY89GclmY00dK0zCnd/2JKntTnWbZVxLjQLT6J0Wvg1iN0
jTmn4RxUAfBH6mbStXmpY/NiNU0QzHkKHRpwoweyVlQ6ySnvwaLWLWEuV5+KmKkV9BRc8I1b4+mc
OkV8XGCKMLOCPnmHeeTrvPTGVZcKOX/yG38T07W7w3RaUw6bMRE2ZKK2QymZsMqWjsai+zaaugCj
R2UdY9OOX0Q071FFoR1LU301xnZwhL63YF4k/baDT6x0EhII4lKMZ/LwWtlG/CIysheOYlzHVdiv
BI16Fc16rWer44ikD3hO5zsH//M+GGIKxpMp+hkthXyAynn+TaFBa9HI6dDQzr4qdLwf2CI4GzGC
T5e4hu8YJsXHhgklwEujPFjtkJ0a6Xc/hqURELMv0NuoZ2tEnV715LD27bxgaA+ImfKd7Uy7BtFJ
eohHM6lvdtMz4OCB6idk1Co6kTJP9nWoFstr1567panQBUSwGZIBYp6njxaWSeT2pdsQY6n+zOjw
HsDI58GR7HDwnkLIkxtqPfXVwAVClmFSJ9XQXeQsJYrkpvuPOWg+50vFYu5Ey3LKaayOy+jIWJLG
F0PMe45Ackc9H6fahLDxNVpQuY0xyqybkombWjodmWF597owqTJvUCVPYDX1mSRpfWR83KSbwFXm
La4iucYd6J3tKnrisr/3HAnxu2OyNzh3DigW8Mz5vIYoUa9aqrNWfJ39OoRkwcENeCLNrwSu1ynF
SC8VNZWv5mIP5/TpwR9daKmmHj8SekrvQAUt3A1Pp/D/Pf/gCUTaKsIasjfH1uHxttRkevRlMj1T
t1nhoBHA9O4sWjWzsqNg02RM9M6uk76vzHW/tfhev9dze13EFHS2Of2sjbXoXIRI5XexVHlKthtE
/MdqNy1Fn2z0aFJg1HKT5n33CO6EdS5o3A3SZLdrkMYhOCjDpSWiEDeVB65A++zNJyayiIm5od+A
vbtX2hL9tiTLsNKT3X4PykTu8tAfT24YDY+RdAk9BNrcDdSzH0AzURthYCQPiGtkq7KWktSK6gk3
sBu5y7kamy1e9pzZHGzmbWM0LlmmrCvpbRC+Zgm3GioeObVxGjbs+l0XbJ42sdH1X34eaf/Jl2MA
fp6oACcTLRCpWU0+lTAGmz7IYjykc1K+j1IhT3S2QOX0aQqRd0Vamy9R0ldsv7PirgKG+C5iw6NW
NLc+0VeXWgoHn+qq5ns4dpxudoyXOEggEycvWTMOgLEDfMyPMGlKqAPkqba19DSYDMiBdB/X7tFH
AToSUBCcF0a7vCOkBM1hEUg+pGtY2z6bfcau/UigzHaAtK415ayPFsgLCpt6mIJjVz/Gua8/RJ7w
AGit4iDc5F2lVXyyMRKU27yT4DEGdBbOdbm18aLKfYImpQ9tiTnmWiJEt1A7FF3gohWzv6fTyTZ2
9miAxQ2GogxeGMsKc1+zatorPDDLllGemWvvkgHzLzitsJvhCpoz6aQ+NL/IGXU3ATOGV3MsSH8D
n4s6/jc//ZaUibpCwSmJB0OtWDouxvzK8IksPUGQmR9LbfXeuWA63tJ5MDKVmuOp2DKKGdbY2bnJ
7f9k78x27EayJftFLNA5OMnXQ/LMMY/SCxEKSZwH5+Acvr7XyS6gCxeNi9vvjXpJVEopRQQPffs2
s2Xej6BWNUROrm8YsU0byuCWm3NI0HG749LZA2rgxNrPMzC6Mh1mKB628dr5iX8FzQVIPShwNkyo
f3zk8v6eV76kanGqiwdCkM53VUz+B5sZE1Di0DJJd+6hKavu3gVX+g0tBB0HQCONBGoSexFk1e/C
6IzkqHx4oqwfSL7vBCVk7HbQg1wmPhYGO7uz+jGU3eyKCAVyvitKnOtcC6eUfUSlhnLnI7c7VI40
NFV0tAK6oT3c6seqbHLprMQXwDgMzQ9njFmP9nHgJlaAy8L2e9AQnaO+dEc6bPtu+rQTdRuVkXo5
c1BIXymIb9wwYWP5QHQGQEpeg5oOs5oHc8c5XULtdmvniz28s+th5y9hCceHCYcjavVcA70kq5cz
/Gb5q6xE9yFr4X9usqF9Ou0z47H1K3sNB8fx4cHbwwoNCqF0n1dTf2ISr/Z66ygLSdZp4HrXKBPb
fjF2NIRmfvrTUWt3wBAsES/hj3Hpqn1jP3oTLWW5735L9h8GhcRVeZFOdWvtZeb5LAaDGDdMLeDU
StqPtWvax6oeqU0B41E9N0aljnNiKzoFe+4eoRWkiL+il80VEg2oyEGBxYlqu3S6WCNUqEMC6wG0
4jwmdXcqgj6Z4qkWxaGk4pqYNfizH1pyweIr8Yf3afWmHs8MjPVw9uD4hhbkeorhMU/RaFkyJU9V
Jl6R2zMdO6MvmROoQb7gLSF0lrq6+LJopGdvkS+G2K+pQCSGPD320NGn7aOAr2BHPJ6oYSXEelfs
HHNJP/N8HA51Y8kzCxEvJ4hrNwe2tdXvRtUWoa+VvruKkOVEPBIv2EM+peM7vqriQ80myLZpTSRf
5gZPGLeAh8kndybRhDOPynmE8Am2imoTDFc6DV7rvOc2T6bdRH4WBcjImZKICRuNdeU9kZPrJZnJ
A4rLSpz8RfUNhL1A2xfIqBQV5JCSvnt36t+osSXNUeY1D3UJZQPBdfRWUHGS3SN3AaOMy6kny0rQ
iK4mqDgezraeXWkeFP59seQ4STzen7ywi1RVNzitTRaxAdgSuc24eXBVBQsbmU3KJAqpu/sCIXtm
SVsuP2RSJNHmqekHnySKCXrTJFvWpcN07Uxod8zLHlQLwx5unal5ke0X6wYRIZdIFyzHEu+VBeR7
/VbY2qFit92AtU7oSCHwCWCoBnCGgyPLLjaswcXeglHliq6J65BbpJGGXb8o2PlVWxWxleXbk6WS
sjv4TEY9V6ZgiJTJZz7WyL1382Ikc9iPhHiJcWIgnOEi8kI1g5EaH96dFFDWy95oZ3O6rjMdmqGh
OGVIIUOhCvPeZJlEWvUW1s0C/37YgJDtKk42rmBybaKkKJDAfRvvzoF6+1vudU5ZFq0tf2EQZkNy
R1zQJVJXi7+6NPzn3qfrK3cpKN45BrkKqnvIcfExrkieGBBOm3jgtZmS8lPGE+CdzX8nObnGqdSw
Wv1iVBwuQht7rvUOYV7ysT8rBjI3LnIrf2aLi4WUwVUhrHr5c1n56xGdPdN7HFDee5dPQKpXnb4X
dcYk3fhd8Vip6rMz7CRuc8+D6MUhEieTNe5SNeokIqzdfCHoGL/bvFtfITNOBla1hSSQx2t3haOF
grNbfBAp3CEX/6jm2y671ME3w1z/yyz8+m0jRItloZuBvDK/nw2B2BSOqImE7pLJhocnLV6qlfNH
GGres7Ww9wsLBQjV1F0Wtjs9DuZq0XZdt7aAbTdvR5sH93lUc/ecIDOTjS7BwII+sV56NfDOHjd/
fC19S1CooaZuv7FfSffb7FFxXRsDmygQucD3EodmZ6jYHKh8jLTN3pJoKoQrwL7wYjeht2uHhVwe
SRrayDPZ6Du7vLTEaVyzF3ypuC8WsX7ht4ttA9sq0ENof2qr5m8EGcVNQFmfzGSLy9lWZPKl5GpC
VKL0ux20zfS1t4T/yiyaUowUZNgUgGt3BmObUh+EINq/eK6YRe2ePUDoD2b9xxowvoa+faNDyYVl
v5py9PAbKcuhvbJiouxlffj/+uz/SJ91b8iJ/4ZrQVNO/3+XZ//5nf9WZ51/4T+HIcHq+0aXvSUa
/q3OSv6N6dpSYCF3+EUIo/+WZ0XwLwFC1jOFIOh3a1T8tzgrrH9Jyw5wrwcuyan/N7asuGWf/k/S
Be86fwQOPkrJfYI8rvwvcAvJElILCF77fkpxC2aT779untGwsaDf+oENgk8Ri2jVvjG5ADnmWMTV
SOz7P75tj//7D/xPjZgbx3+F3PLX8PwgQHAGA2L7//xN/yNzY4JfzY01gBothuG9BP4OCzNIThpY
wutU5sF14f3J+LSj7m4Ju3Y6+uCGYjbn7pH/K98bomwPLVSony6iJFpTvqpdJYEQ1mnigiOka2tj
bI8IC0/3GSUTZPRBkMbIQ9ZTNqB85IoOZj/DlWQoYxvDJa2S2OjLObJdb6VghRxqxu7mU1iOZ+1H
YEgxzLbgIqebsS+woKoX/PoVXQuNgUr55as1wB5OhXNfQ3g8+sAnsbMNo/2Fkl/dubj+uJCpilvB
YqrLgiUlJ3H/i8ZE7Bxl774GPARAQmx9HssZcllVctYXWZm3Ozzqv5D8hhPBq/6BTKU4m62wIplR
2CGJsT+mNBJHDjUlsVnY56rtjkvODqSeZPq2OgF31YLbeEgYTX4K/PIkL03rLZsDY09c3ob0aLNi
4uV4VVlq7PklmMC8REbtnPXHAWvBNTXs+aT925y+VnS9p2ukHDVdAJnduiydNO5m1cXepCyYfAo8
EhxvN05GhxPOleOrq8wuCvLWjjxq6F6AvLufHkumuF8HdC8GjiO8wY0vTdHqg+GllsZ8B1axeJ04
7j/ACeh9QWMcov0/3n5qvNWNbW5vvf6t6sKPZV02T07tc4lKpDGBd6p73Hu2E2Fb2A/LfOdkCg6D
ccEiSlwfbMdem96DZ3N/QPBKsZqZ+QGqPDdHl4PXA0t6KIG17YZBdpGTAYeVmRE1yVbiKao50YdH
0BRQ0bME3BO6SzTXfX5kBsqibgTL2pXl+JnDRTg0w9iG7GNGwOqG8ctDhY193az3NX63KJh5nnCk
9nu8TmXccQ26/ZP8nfYkRuelSz82ixb1nSH0epc6ZDaqrBVP5mILqsz18mB2WBVUp5do3rp8VwfN
Q15V/S6rp+3QpeP4VFUuBsqbqdehvztWG33ZNajnUMstfwQt3zzYwkpj26JIkPY6ecqUhTifQQbo
G9MKtTfe+qK67r1qbACwOY68BmJADLj6rw0KLGbxU78mjkctwtp7Ef+NNpwyJY96Cbbrki1scjDi
HpqGUgsb7RRXVe2ReTZoL+hTE3rxQkaiBzF37EfckSWJGsh4bmsC3fV7dz/ZLprLxqrkHv6WjIwO
Ttuuqdea3uDKPq8Zq7gJWspDPhj2MyYuPFzD/dJt2wE1zL3zyWAeioq9tKOluEv97CHgJYOP23kw
pzqsMuTC1GymixZ2/r22ffaXRfAUBhUJEkE/6HXlRoHbzKZ/nrf+0Z4qeab7uLtrcPiftka7e2QW
+cCgy451cjFtN479ZXV+fpY0phzHeZq+MV+qZ97MrPy8m0KkJtRnr0jCIJV1Rj0y3CFMCqksT0SS
qP1y6XzCeUbjq7thHYyytAAgM3Rq2ido5ntMoH4H+Nuc6c3pU8qdQehFWU9fY5EiFmatz3qUkGUW
iqb3xshSpk393aTtEb/oLLkWJO82msUD0EE6ay03oOCwY5+C8zJnff6D2+30ZFgt7TUWnE8wn91G
jiOBETv2Ndw4Qu2JnUGH7KESDevUnGliz350otE69NOez3WmsYUudgC8EVosV0MBfvWa4SQ8ew7G
+djugj9rKcv01DWNiudpbM4+vY+fTh7QuVm0NXWYN35S43vy0Djest2qObu/eQv9Bt5eP/71Bn/Y
YVkdP2sRTMdOtg9NZmBlZYvbGCatB0K6yAY5XIKuEvj4VhmMfP4350fllTLgopS2n07dU85WYOMM
zNk7JXPuh2tdN7QPJDOeGitZACyrpHqk012LQ53MznKSxapRi+tElH+k4Q7Tsyhq5yXtWHzukTy6
r4GPwleSWM17W9Fwp1JJVDlpOaBj0fOn1cE2v3VgWFn9qsR5T7X+LOvAuJAgWJILu3Ku15J6utAd
SXeYuc3+Tt6e/5QYMjYkH4URZ8cAMnCVf6GPus8chQNFeB40gqdxGNrT6In8ZWKefsnEtMjIFgrE
oq4D9TetB2gFWe7JDxAWNpOuv54IRLnwjrS8QJHy/wS1hz80scziaPjCvSaFs2RUq83qBcervGuW
mzuyBHmn6TTaOYOh5HOZSPWjdqR6dnhbv6y1UseCXfQ+HVLL3Xdl5tN+6PjLnb0l9tFxcyq7BmaX
2aE7Y9Szh8JuVv7DIBLYD7p8NgLtXwqrIFTklGlslm3Ssc8ylYnZu89/zG4xWTgLcpZx9PWCDcZ6
7f6EIK6ah2JTBb26eXOLiFS+SdOZ0WOFRKF/Eg0KuCEoqczwKXzS5CHewDfbL4ji9TkQg7u37KV9
SCojxTkRZCemGrbfIDT6gVlrxpPb9MRYlnw+KNhcF+HRmcmUZjyhe7QHoaYhbOat/ePli7X3NVt+
gCmJfuvhYBYRlJKGC3tTLvdrSXQ4pkbLsrmxasASad2yrBV4ndGJT8QXll/cLeYIV2n2kZIGuvPs
tA6NLKPArHaooOEbHG6a87PGO4JZzz+xutoeprGSUa+CoQttE4ikTv0DKzRcV6C96gGyZMJ19tJx
079VEc6UOHqwp+bz0BbZmXGmjVZLADxlbJDYvaaMRXrH+X4ICO49loq7zbxKHoWtpVCm6O0e97/a
u8WaH3pgN2sII4N6QNO7zOmwxmw70jpqhn747BLJHrVw15MorHEPJAiSfAYgt1Gk2FrhVbgDaYnS
2KD3YJHXk5P1/lUayL952kNRcXad8yczT0vffIKX+UpcOuvs8mx5nz34ZVBcmk2sg+D9i/mSSIcg
2xc1y6o/jGxVj1VPkZhNQTLgKDKr9y0UtO2wmpO8tWEGBx/0U8R6ojoUietQip1K0mc55biN1Oqe
cpQs9N1J7MRUd5Rym2J9HBbTas9gkV1worV+zNwM9xr1QcUF12P5qqcE9boyzYOrh+pUDG7xiIhj
DzFgtfWPtmqqFFN6Gz/8EVBrY7gAbAPAbzRqmrYkxSbw3cRt7UNTX5rBLJKdizdv12rXy07+sOS0
r3FfDxPw10d3QV+hHL7bQ1tqro03mffF7CmL+bZ8X3CgW2fsBewZZ0HqK0gSVR0Lv2iuuFGJCYnN
xSNEGk1qYRy1rcWvaaAc3Jmtgbma3fwLbxv6l/HxQ7rJFqhrAGgQMhJ9LtPg2uMoI+AAlnyou0Oa
NOzSXSIB1lQZXxtL8OGg5Wiciad+EcsJHuBqZLT0blb1Z2o8SsJ4K3L6jzXFhYvD7YEt3hqVjtnc
kXBhejO0+d6hHD9ywKlLi7v/EgTGuAdIiAWbhChyQ5v8hSBVxSW4gIfFxWOCSQDsWDtTL8Z6zXhn
U847ZF1wh5NcaOCMkRiIvcpVz9ssCRAso2Xfk80IYAdty5dbVFBBeYsfMDSZbORI4NUAboGBDn96
B3CgTE0Fll90nJyUFIMfEZEr5vukZyjIZ/uCH6yOi7X0Yi3N9q2z8DhIDppdhTRHK1ji3a1Zlb3j
RrlXlhz3Q9kOh6q1BsKOXG6uvZuyGy57koXSqqZjyx0jCtKMugTHXZ8cQGTovc2FvdubtOo/RuI/
jNpvd6XAPKiW0twTs50B6/icTAXCJ8Fi+q/G7aFCYv7Waz89tExfu5Ep4JqBxDpKP53PnvhFmwUS
7ujsS6yoJrrKkQVKxl1qm6MVDWMvOJCAjqZrVtAOnB5ljqkLBtmupUksxwewymvfpJdyy+Vd6qXi
wk61Z8tiz2W4dW4XVSzMGBkh9M4qpTVaz68dH6a9gxEslP7ahSYxBgi6ZLTSlYk26VPn4o+T8+SI
2j9rvI0xHqcg8gwfPi6f9gvLaxr/7LYXjKANOLSpIr8Bzik2Fny0rbsck0rKQ9nnZ78cDybFs8LP
btxUnuk1nBsX4J/AbpewIQ97q1guPbG6iEjRTcqnJfBEcbtASUN0IaTU92Fd9g4EuoV9N4lrkxli
c7SPRYc8SCqL6pRsNe8/TRGsSLrWQKJYjbgdMgMakwo+TbdzDizWxEfvM7IH9H3hndoIwuAOhrzj
OrFL6ue46cL66RN1Z/O0dc9MwAX5tly/l01ChUHTwQgk9f1cbqrkXen6GYEQ3KisWlFwa7XFJkPb
txCCK7TArUqSt/1NbglxzxlRf4rLUCdutJrJL3Ph7EP82ChBoBPWeFUFwTFr1XLXzbSwU7XhnVgj
B3ekxIMXHytX1BD6C1tCv5H2GjumBsqPXK+73piAocjbSJqAEuFtRJ5ZPxd6KZkTmv5LyMaJiKZQ
nc4V/zTY1nEpNwMMbk6Ro5jH+zEYh7MXlM9um4Wuj//Xcvr71vpQJjDN0oyxqO6tUf6g9uGhmU1x
LLPlBTr8PjXq57Xuj0mJlNoMyAOJaHXIaPjRp8En/RmRpfOvnsUGYEfsd6nfZM83eh6V0cCCOWaa
q1POFs9x354Cv7zgpK3P6eJsF4lIFMMcoO4RjqazApNmiQiF3ITFP49VeqAm4sW0KaP01wappuKC
t2kDEp7LGH4iYiqPYG3Kb9rp2ms5ecWGM7WRZIx5R1qmccwQayMXGxl+8TrZY95ILkvl0id3o+AH
oNyoV1aFd8UDlaC3edFG6+ipr8rqkHsnWtUvsLePm10D5Ra5+9Z1Hg4Bx7Pf8sJho91rui5da+Vg
LKm2p1sMEWjCrAnHcxvy7t2YYVz7NleUTdLMA9ygu2StqV86r34sqfMoVuoGfS3jzCrOY63+NAQH
76hUMBCDfLOJecGfTcBNqhf1nhUTGhRogFDZSxlZcBXvNkvoSHqW+W3z9e1S6g3H0GsW53MyfMo+
C99/BHnkkq/RpHE9+pDSCnGLbNteQpGebBxHuFs+bWmYz2QLMOpaC0a+Gs4K1dOG7PcjTROHOW8g
Gswm33pcMKGn5wBEvYGLpetdRB98JrKT85VQvH/VdnuX5pihN/EHhzIB5M07B8HLQkNDntmP9B6e
6jH/Ban/z0q0i3LJrmUQtxS2Q1em6jgglO45No1wdisquy3DjFujnu+nUgtu2UZ+5OQCBuce8ZhG
s6MjSplwGRFV8v2WD5RXx5y2f+Rs3RuNC33Kw0RviItLpvKmLO2V1j8ma077cLGhJSuOg5demOu9
nWQ/Jtva6Ecy3u08cB9qEKVfhmt3R/49THDGFoQ+dbIVtzFGFONlCey71lbwvChi8tpOXjE9ASlw
rU9e4KgfpnLfbbsWkYHQEvmreK89GUQIeT1IWsqhEd/7rgzXdvwzmYO1o/uKUkyqfXfl5Pe7tZZ/
S88iXZGfyGuE2Vy/KpkzXgKgyAmQELe1vX2dgOWnTatq1k8IbQ6fHiQ0Olkoba6canzhkj3sKye/
KzDBHwIxPs490hMJ2eyRyNdb0QZriLMTgGZlMi8KNkYkFKadPeR74GzwCnKrYpUnnPtlkQOECQ2a
vkdHcxuJc8CMJQCKPnSFPjslNEPz0s05RI+2eblJZ4Sgzwnto8d8mO7lFiw9rPIpiKaWkuhUtcsn
HVoQsNHAKy4cu7pbjhKZ4TDi98PGAMzthNo57Y1SipMhMutYDkI/qk2nP1Ng+iTt7C+u/K82ktf8
aHW7SajfHnuuV8IE7Ukw+tI4mtLtuGhsAETJGolkYi6EoB06DLibUHJVs26ZprZ7t0VBNTsGHmRy
w8c31nXFDiYkZTQd5nbLu0lVLML2+Gfly5bNxEDMbblrt5ufubCkOklZAOExljxqguVqeHWzC+Zi
4QdlppASkFg8y1sxDHV2/qbdxbnnOYstql9WmQzXInE2gCUmW6/TVlh+zO8dPofBMU40oeXIT+ZK
r+XmfXdbMhx1QCVCUrzUVpsdPGgKhz6g0dpo2Hwrt38kBcLfKzfzuFQyiZDSYb5yzjMn48KEXucw
hXfP0iSOujEn4PJyiOYZJJAR7QkHzfMPtwVhR2NFdiJ64dxVlLJEqc6owywgNt5qXviZHefF9q9e
2iF8shfqUO8Lfh0EQh1lTcaGSrm/PVZdCMWr9diAXn0qhlSJqLztwwPTm9mk4r6zrPSj3Fx6HKgo
PYO6WOj7JdcHejYZSDUk61Ic5jIrMbzM42EsST20TJoMVOUEQYYTOd/MHnuc11kG74W1EncgdEDb
4oS8NPSJvSdWt+2KjqtHPNCb+QpdicCS5ZfEJaq2Lq7LwEhGVFQc9SzMy0JxG09nU0OBXVbp3Xs2
AHtah9SR32LHJuyAK3d56z2nn+IkRqn+DlnH6Jg4RFB6LkwNAa4nq3HTB0O29kFlfXFA5WMAElIJ
bPiYnSLd1e7V1CNoihJjS3DzCLGluAa9a71A1krPxHutV178zcMECeegETmxgvVKHayihr62mFRI
7IAiLhhSVMfRh19hdRSGaldB2gvb1cq+fMn7YpfTq/6GcHc3BRS+e0RfHwuFJ0Aszh+c9PYvAPtt
Flm+nfxOqrwGbtH8ANtL2r/sn6xpeLWC8mbeYuE1bfMRVEC3L5mdL5hdeVxdFl/gKfURS3Hz1d3a
uv3OKcIuTcxYtyNPEevBKIXP/WhOmgCDSecmnhOftVmJDzAxHRZ0Ejma4jrKvIru3i/ht3RqwbGU
jW96pTLWtPqPXBCm7fO6OZSWK++RuvPn1RjUTwfbb7YzE28+oMEiZU4O9SwdCfAyTV6BVAYnhFHG
nQnAhj9dlrwA5SyX4rxa3t+c8X9nFwR9S1ZQvAkWtwv15Aev4Ao5TIYNq9I0iuYqt+Rx8rZHiePv
KfNu/jNddft2tL6bzOdhdKGcLjWzcV9s9mUoVuNLy5RoSxv8DEbhH2VHiuhGZgpXTbqkIX1PgiWp
itOiLUFTtsPV2DrnTE1v+NHce0vw+DWekZ6nxTeOXOyoAuqrpzGX5LsQpvaeGq+CQZ0wtz7YG1vJ
WFvbcCqHxrgnHh2wxHBesw7yUlPS2eb0uDsxvOlosgpW+D1ffNXdMt4PxqbMq4AytPMTSoZgGXAp
Lgk3cE0oL2OzPIub8RdmB70fM7FHuKUv6zLeSAkN7RwCg79LZ4b2gngZAQJVxf0KL4Aywo4eOAuI
8m4rheeF7rTRHt1Q9m0x4fAuZDXqxGOgeSfPAFgvQWuPlO2avcPDPANrEJIXMomg7g1brPzdkimi
liSjNkv0QFMpbji1PIbR6ndQosm4ddTeNMXdmA0AordtO68jdS1+MFZh2RVvbor1cyhg9DjBlyzE
pVrSq8+2++C4QJL61X4KmItw+NMfrYCM1v07BRifrm5ZtA5dFqrWoxbtKRl0Fm0ILC89aQ/QUZCq
bLPtL+SoxwhLdvbuWoU8AjZmpFmGFiYdDbqb8CKVdbQe+Z1xqMcAcv7TgtZEQi4rzgWfta8asFQS
Vl7H2A3ITuzAWKkwbdyrmCx0MQJOZux34znVjk/lTH8ifwLOy3G3/OCvSIKQNwzoUx5u6qTGegXd
yzFZOYIWsjHa8WP0a+vdVBl8cG/CuOgvVfOLKkja+rrJaq/8R4tz469vIzY0FoTWvuX9dheswLlC
A8PL91YymHEezhihN31KOxpW4HyM5qeb98Yr9377CkrAfaevjZI8duxZBCZkeOC9AIcqnZzqp1wC
/Z15I/c6lgaBRhQqS3e7YJDIS7a3zvTujkP+oI2Fj/Fa8kNAY5qzeyppCvJPY86YSfqesJ+Qwylb
Wopc6t7UP2Y4aG/U3GTNofLYUzWp2zZsMh2nZRq0qofU9Y2Gps0lAH6T1vPGtySHt+RYXv5G2Ul/
Qo5ijGsmK99zo3aOHimKjcrEzuLXWvXNGzzrT0BB31ReGeG4jt9cy3Elq7wtIlNZ3/i0uBfJjYUV
zjVWIqB9fOBNY86bouV/0USr/d0q24yR0nQ/G1wiGEF5DQx3hi2HX3ZlQQsbrKSlVVO7vwsG8v2m
HQkuOAULQpjvHlcVmHONJtzLedx3eeU+TdLhjZZ5KQ+K8vjpTSRhj4aR9OhP2S28gezDpgtg+GDr
P3x3pn0zLhb4+CI/4od5louDDFklWMcKB5R4kRTVHfyF5YXNWkajfR1uG9bQEJ53TUtfKakQWOFv
UNMolyzyROL+altsOrFTmeo8GHirrDEQkcVW9ugtVKlVs1ESkkn8GSkaBoGt8OxqMrOkXT0OvoVU
X2Ec1MwDnG7+F6CDdO+rpHjkwVfxRknNqbVa68HU2VcwsNHb5cy0hKj0D6cbJ2yLdB+WzvY4Uc0Z
WV0dECrdph0s5TUkrrpFav3s8qgcTALMVnuPItjy+5V4SzsV6bXsD0Hub++Uh5vRkrZ9TEZwjpaF
IGdS9We7cbl1eFt/5BaY7QfbSGAamLzrJ/lzScZsjWkhVLEZ6P6u8Fl+LazAnp0ywT1fNK7zitgE
iBzq+NPczPl+XIzlR0JXVrWxdCiDxCFh1tfvDX2zIZYc7MhBkD9NMPgOms6nOiQsjREVFUVSGb1B
SMhZS3LrKIviNZvM8dmzEHxiArWpDmsY+1i3V0YCMkYCfhZnslt6ISCK5YZVEMfcnfTBgaRED/lN
VctpXm2RTm3txbeT2uPiEXsBQaQOQwCxIGW+Y1rGZTVhNnRGXd2EWUFkfNZx63av3MyYUkanP/ht
h81/LvS+Bg0YraX1E/0tuTCIFNeKaTKsFReaNafI1O141eqigEWH9ndHqMD98KgLv9Xm7AvS98cB
dNKxpH7w0m0i35fTYD7TeKkPiAysOcdu7tjdrJ06jM2cvGSYru9ZV/KlFIiCnmocMOKBeOS7ChtD
AvO/E5BcyEeamF/bDdQmhDp/uzbb4tEQ39TVAfWFOyCqG5bZPiDP6Ww8PexSCeY704M9dY8kLiOa
PtWdWkZ5ciqP/IAp3faSNinLOGW6G7+g19O+6AgjBVv7V81SNLtZIql4rT3RiQpSajSq5GinFX9e
O3TWQTAoXPCIHqt6Hb9KjY0nDrQx0/ruNvk7P1+AO6o4LCwROLrQ1XdpLbi2LUkkiwEoUJEdMieH
ADWLzO13Dms6ljvod2bkODZdYJs9yXguIQDADNOXdVtk6AMZ+oH3fwVgw/nYKXxoY8bFoLfbi9e4
wz/8Lw4bNHPmf7VmObY3X7EuLgb7wU55Q4+t+YjWgLmc57d21zdRueXvzajzVxj33m8UuODqTuKc
T4UNaLxPyE/41tzjVc0FwIXFaD8NBNmHVihYwU0jeCqgrZglEYE5uOHfFvqK6W/MqZvnLMi+2YFy
87CoUUwtStsxBhG59IGsIPwvpzZrIOkNi2Ne0jrno42vONTGDW42GsDJFgznGfNGKFttXtg+c9ro
wi2+E5aVXBOcWR7sWRRHPDsBP6BJfbAY+pFn2695CSqOcdm/2VZWnXJFjyJh8j7/FNw/P8aVHjPe
QuZ6nHvmdO4aA7cpHIv47VwdpUGub9Sx5slfa9zIjS8fCEF4sQUq5bg1pYaZY/sgN2nhdPYNgHQ4
fLsiwQg7k+5dKzv854JTspbYEzN/QvESu55wPFuMdFiOvgG8e8sM/2CoxXpqHVNfPbhk55H30TMm
DyPc2PRHDO3LI3w552iNY/pJ16X9RrSmxOuAawW1x8TMYTiamtbbftwoe3FfWKCieXPXPoIXTuKZ
Vrg2d291IiknQQ5IrYYMV9Y7MQPpNYR1NaeqCUfSW1gxNmkRX/RpxZFKNjGU+L+FyMdobCkIxSWP
naEvqy22bPHqsdsPc1MEB8nbNEbfra9QEx5d3Wz7G/9nZ7mbd7/2quW+vyy/dGVjex782X9yEL97
rkiQhcxc1M+ItMGLZTjLIwK2/GX5WXMxVoI9MBv1uei9dSN+Wk2h3Wb+i7OiMq72+Dmwhy6x1ffb
nQ00bY+Tpj9wlOJ3IT72MFn1s3BpalyYuY5FgEHemf13KDlZNJDAYJT0l+JN4dd5nPUCDd6cnOJ9
URsageFvmJtwOYedvd31PBBEgRJNk+nqnYasPGQk3c5unbOOTHz/XLjufZeUNWiI2ie3uDYndhka
AERX84lY5rPoMM6AE2G/2XteHSb+an5SbIDrw7btD0Paz36fkP/r5sespxbBS7jFlf2QRvXsZlG9
FE8ZOmGOG+ro+KC8hyBYL2vRsXmtlua+bHUfkoc+2YyzT1RDsTfgEgWcrF5LMKvSvusAtP0v9s5k
N3Ik3dKvUuhFr5oBM6ORNOJ298In+aB5ljaEQiFxnmc+fX9emVWoTKAuqhbd6MXdJDKRoQiFy934
23/O+c6evd+naatHLWYaexGMjOUcsbcj2ggT9vskmMRr1NQkn7Pcv3C0zp9k73FwdWjSVJgWR1m6
PWGSFE+IdqZNLFX9nKW8UBBduxXX5NqsGoRqUExuez7SMXmD5sp2YR1CTbFibB1lj21H1NWOzBwL
gKmflVhVIbosEKXsjmN6IFGrKT3myUH0BILNqVfDV9VIdj1t6OwhWLLay5Airzm3nDX+r/mIn0Cj
TofT49CF07UpgnFPmd5yj8Uy2y5xwErKl8V9zXBxP3az2obENd6IONJxGfXTcJpygdvYl+bbnezg
GWDFtIrII+VspEHA8cmnWQN5yX8p4mzeVHHJ1iAqLczyKt0652hgMlLJk0eeupOxG1/bRcuifImI
gPuj3d2yG4g+sxE9GbgHFmabRSR2B+megNDpV6ojJs6zpWVrODmnfpn9Zo3LPsO3FaMnONr/rANf
HxlUwk+WhMwQyXkVZdeUlHMJz7kI9M7RdK/nVdCLCHBlgT4T3dsSuOqZ7Ub8hj+NxG5d29vQD6zt
AhHiK7K0vJ8nF+UgKLNHPP3RFlmA631BfNb2K+/BEVJcEAFw1sq40f1AnwveeyoUjx0e62/CBcND
weMVYWYObmq/dhy8E1RO5B1xaysJgmOf2/aubnnWcHkuBLG0eXxjzeJeIVllFO1S5clbXrc3KAb6
Ie+5gFvlnD6kpfUzaRuzcxuenxC0jgRqWuQcp7kJ60l+OMXAWjHlM7MiWS14JoIbiCrKb7p6UYc2
hdjIema4X4iBsZ8f+2aTFR7u74ZFRpX4I8ROJb9VYoITDh2SF5XVU8IzB3106zIc7BDjgmNe8jkc
mzrnbctVn6sz2wLUKHU/lm1wn/h+uQ0xAjwWQfzA05WZx+EuzePX3jfkt9DSovTUptn05I7Rsp/P
fWrayqhOVYy1G2bk9AUA7swy2gqi14E8XkL/dDKydmC/DYEdXciKrXTnUZhHG8+Z+1/F7oWJUO9I
ANtrnyvnGsoHjyu0vge2Yd3ecbyzu++8e69E335jrplppgudh6WWy2EgW7nm59auuHT5xyqFBTgg
0a/5qGLF1zmBsaH12CvMriVX2PJi3pYo2Pl0TdvoXb7IDmcc5Si9H5gdbjJmzjCmjwzp5qEd4DGE
Q+vshYYuS+pbEumb0d6/F8t1eFJQ3JOSUmMWbG0STm55gHAQXDdJ39zooKW+A1QCV3iMglDTtOEl
l18cONbVEMxtt6U2yECtA/Larf4HXrEkSVQGY3gYHbnOTPnl1GVAo3OQvWXdTEApxjL8BHop2Du4
r26HIkjeSYoM146N6MKeFjMsCIGMEykp7v6v2OUvvsrrj/yr/Z9nlPxnCRcJx0f3v//4n5C2fifN
bz66jz/8BwNT3M13/Vcz33+1dMj9Dcp1/pX/6v/8y9e/ZISHcYI3/Z874fcfzfxRULPw2293+EU1
4m9f85sH3vN+4IAXwvMcqV1M8ND2/04ow+/tCiH5I3ypz80Ov3vgbfHD+Mp14fN7HsLtP7jglffD
tSkJ8KWip+H8f/72l//dbf6fEcocD1f/H2zwUlKxA5qGP0UYPOh/KnxIpaKyLWWjkQyWuaH8YkQm
Wop8h/krwcnZ9W8OxqVDgRKSrvw6oBWdWzyOshqgHti/Q1I1CEeQrc7ydOI/l72xX9VYeNfLIvRT
7ATt1ci4fACLkvyElWKzXQinQ8E/927u8NEzNFnN61p2+lc6LchJbd1315if1CNthhSxxXSvcVuq
1FVj3OxRZXLcGF+o47nf/bat7XTT0+G46eCQsjXCP+FWQfJM51x7bCjQeSa6nVwBxNrFM0coEdUB
/1dNd+pAR2OSdAKZlA+gQ3hmbQP7OAD2CtZOCM8C/acMucSTmYtbxHY9pdnGrvt0a5sJKFLXeKuB
Wf+6p79jwxmxMZFTrebYFZda6+rKRgI8TpnQO1gIw7VWg0YNStOHAXgloWpoOonnFlhVdEtzTivx
9tXDfVZQ8IuIzImf8UxNe+c66JuM7seJAh6QEW+ywcG2WMVAcbPiOaTq9CbL7GbvpOxJu6YCkNh3
y4efawBLLMN3Je0lGwUQYUX2LYMb3znHRmN7J1X2TT9L5WwKDNoxDU0pj69uCp+7IRxf5yhoH/2g
D77kohdvpQ3SD5kByY19Fmy3Djz283YX25F4y33QzWRyGGFWZvGm9wTyO34XAly3hRmCy5gY2skH
VbBtKkZsyrkXE2/K3vc3lLjNes17BDaLxa6/ZHO44KkiAIlfk7xDMEgmKlEi7TZtWVzauba2weTU
D9nMz0XXuVi3MVfricON3BL4yYkZMeXKixWi6F6mxA2hrPn9C3SI+LmkFGvT1tY95LDqlAyj+kaJ
c1ZUG6hplfQ1a/4knKc7pZJfUWTeedwEV1UDWmjAI3BSme1s+hGZZtUlpZTn1jQKkT2ywFfD0Ccg
S4xEX2rnIzO4d5NXJBqs9GnCuxHxjA2Hy4HoxUdDsHM/Kz3uw9hgLZmr9IBVaqvCKdiX1LaFcONt
9270TXkzduO8m113OtIz57xFduNiCl8G69UD8/UcVll6KNJxfM99V3wANGPWY59IYNiY02jX7Sb2
x03qOnfxJOt7e5jytd+TJ2fYqp+dCZ2oKXv7rRqqkO6gASwU2WxPrsoYUULnyMEbfml1HbaOT7TP
BntgEyRbczWsbuDhkNUwVfUSEORhlMlFvyf8SRGAyKt0l8BCCgaQ3OsgZzTDSSKBVHE63CgbG1EH
6JvvV9AEumI9MT67eewdezxaG4+CrSsAfTQzdom6iVmCXlXwv7ZIO82xHbyGgj0vAZvvVgCOoSxx
7w0Qir8wScov487I565TXymeuQ2phHqROEbYLoGPYjfHRNtMELfF+BQ3UVFfsAIXEMacPvU2/iz9
DeBpijYDO3FOtc2SbNPja79S2AO3ZWaLXU+VZbEpvU44m0oXxqyLBOI3afQh5uJsmevOyJpVCEfx
m6fVGXw0nbOVZ7jfwq4ztILNADOIWvTYxd/RMBhcspLGg6EjrKssrljtW0Pxq80Xd+IuH6p33TiT
Axmhjd4m2P56xYHIbOsViUd6FziD9zYXuhuRamzzJAWG5rSW42stFAFeIGe2S5a1nA/WKJzioiMt
Itc9DeQ/w3JSUKXorXjtQR6ZrZ+Z5lacS9/tcj4f2mMwczCyj6eLFFVnx21m7i+MEhNBJOVbb240
Ae1NS5aQq1m203RFJDoXe7aqVYO71qqvxyypo+00dfa0DZXkYtxaY9JczAUCK1tcp3yAPA/neYS9
hMcxaNqfAoRvggbvuhHbSUd1D1UkrJPXLPkOV2nXELuJWB4lNYOiCJFpWMOn/VuMtuqs6W/lbjH2
o0bnbudonfaWyyUP0i6aVCaTVUjvCpyVLJXHOclc6PAdYeKWO/l3Y7nFCxvylhRsO2drZPaR4W2q
s/sYn80Li9T2KvP1Ny0hzYcT+/cafbNcgQuh4mvKSnfXC6iXvdNP77MZWJdCBXPfNdYOkFQ4fA7C
DTHsxF7mXoRy8O4DoEzmNkwDC5SLziWYKa8Zd37i8xcAcNtdpNk55utiyRvpsc+TJ3x00wn3W/gs
KE2mpCPT7aaS4hwMdpvxSxqeKrZPpciaYjB87Ri6r6yUWZip+Jxw7fLeOVgWxZds7lzzWiEYPiJ8
peS0PYXUiJt3WpeRpvB3CYLhIqBA96nH63yV5g6kltQSSbwt6PF8RU3ne/aoljoyCOsCW1+MQN9G
fnsEw1u/kA7L9SFmJ1atA/DsEA18G9JfI1Cz04IfHJR4FpqWaPkGnSHMftXWgB8bd91yjVeeT0wH
uoIQfNafOEPlh5Dd/ILvB9docYYF/7UkhEyaDRiP3zrEDzX1bz5ff9cO9N2votQfSdU41lsN9ANT
nhFPeYFNCOqxA1Gn8J/DZbKeROVnd9qG8IMGx3ot6uz8ys4K4mz0boxfHLrdDbYMSathEnXPw6Dn
DvqPXb5baVkduI1BLa7tyn4AymioO61S62dRd2QcjCsarFE+vvK1Cgyjgo8X/SOOqqW6sIYB/gab
STgoSVxCIEhULl67vOkfykIUX16kTf4iMfRAZphH755Siwj8/UjQrRkSVIouLdNb4Ov4EjquzeTf
Qmc8BVyuzkU30d0Ir3E8L7SwI1OHyHYx+8nPCor6MpnqGdoaT4Gh4/mu5XKfNhG0hxRjdUN6mnDx
Kq2KEvD/uWgCkhoGY+AVEEN77V0O0YLhfQo8wH1d3Pg95g/VzET4XWh4UBe7m7Mvlbenp9oYOEIU
vBIjxAzmTwPW9YxXNbTC6rlvz3CeMfY3WRXzc0/AU9yyyliulklwogqj23s6U6r70QQ+f2chFNdr
iao+hnFOqQkWWsIQdr3WPOF4ZzizR5HkGdJRyh7L/5DG22QRSK5UgGFQS5rkxpVOQD2xKdQHemv5
TPEMGhkSobh2m4lXxM/SmlKxiVeo0lW8l1NoPtI4sz8JhfJtheyUn3EWjry+0Yyapb3w0zDP7t2s
95+x3NBdTFkAh1+nrtPFTq6y2QG6bZGEvkDicPY8aav0InclJNM8EbN3USatfxmQWzhNurN98tBe
B7Avjtr3kRAamyS6L7+zys+/ApYTRyewwp8L8F4wCu3iX6rJvo6MLQ7zgi31v+jW/9qlkVA8Kd9/
fmk8fuR5/5f//pFX//GX00cLJaz5wwXyt6///QJJVJodCixSW2rtEDb8+wXS/sFN0GEtKshSE7Qg
Xv23C6TzA6CAQ37a9jxf+ec09+8xalv9UJ6LS0dLTdkf9Jt/5wap3T9WBlqcVbxRUb7/1CJXqD6U
QP0o/6IUiKV9MLI9wX/DvjEerisYteX2HIugSMViH7TqW51uedrXp3nCY0dlbb0jl+hcuwXSrpix
2IKyQIo6xzSsLmDYqaxQYvTELLiBG8QkEJw7NcpuPuTErAEgR/MLykh7AVBXbNsawhsnUX2DoyF9
CZuAs9LD5ZZjdaZfBR6MH2LfKZYR/EJc5Nu8iJpjHg9Y2nCmfxgqYk5ezHUG1AUw3g3AamdjsPNi
4U3z3YDPZgXSgZl2DO3koawLuFYevY2XSx8y3jK4dl+hhzR/Jpupx66wyvturuP5VNdDfJrxoV9W
arJ2AbDgiznSv3SyLHjyXUAd3E4gmaQKlDN2MyBtkRt8ImoNPCy1OtXJUAGALZY3HtLJdlrg+siA
fCAcwJmcOEuIUxu2AVuyjKaYLRcyWhokN+yrotFwWUk6wIAeg5ND+dJPzX1h1bWVtTHUaa3hUhCB
aEXzBQUxffEAhb6EMSFBoSv16p1pGvg9IqbF3OZxDxSjQ6uNm0+oMcHR7gkTX+BiSmE5R9TDjIRL
yhUmHevRsnKgiIv2Ar6uz/zvWS60/nDPR0LJLNhqIqw+rCpOUVf04K+tvOu2schomloSfpcY7Fq4
7u2m2zKeW/szkGrLs0Rulgy3LME3saGyCTkAT5y6dxV3xXrkp7BRjU1ZFDgkiElQGMOn1h4NgvWg
GMEpGSXDkomcZ5dOTXiTu5598PM6unVUrtayakgclVU5UiZvNSWzbh/Nt0EYkCJpuJppfkt12/At
fvQY2+XWsdgjFDMuSizI3bQtrLHcBVy0FamxvDlE2pp3eSSD77ly+Z5abspcPSSiINlTDEjbYKzV
vee2wYcveuhxnNb8Y5Jqu+RgVDYRqB53Z9f4xwJsrhtBRvauVIpEM/ZxBOt+Yc5VXCvuY52F36wv
qHkNymo7q5jJyiklZKisaTqwyOPS0vdlsh51xFjiV+BY88eCKPBk88c6mxJmybeAcM1HGqcL1oUl
b3FX20ZYfH6oLVlVA4vRK2DDxt6ARUZ6NJkqy800EPvyHcJMO2V5Rt/CrsESoQckIFTWyY1WNYTs
aMttwnmwYy8dV7jXWD13TltQ0Sdrc7aa9+JrnOvyYCHZ4mHJlxBfbVh45zkwcI6SOmR6fzLfhwQz
fSox6MMsS+dTU7S1F5gD76cQ/Op0ppst5C1veVF8vZammp4hl4UfICtwTLvoS9UcdBeNQumCnEA/
upf66iGr2py/6xKdyyzGgZ/TxHXyxFQ0lhuHtSYgbNfvq+3YLP3ej6zwwVcVK5aBtG6jSplups7i
qe/F0c94ScafYYBTwa2D+XqB23UbF6117GYnv8UmySgTNuB5VlrO+t3CNgbt0bPxA8OeLi9puRfc
WUuMzEGC9hcJFPBEMs1qH64fFKGswFqOwlQQX8Z3HKM8XCKzO+9Gh0jsRU/fCLnRGm006ONtBdJ3
zWSZDhAKJZe5QTnA+4xdHrniV6QTiMPEm85TwWWSeNN+Btu8jZpcENoDk3bptABP140l8GzUjdcS
M8468eFU2n9y7R6nZdv69+WS3YEpBlAPvHg1aFPsQO9S6zg5ffXoOoN/ygFTw43X8WepIs3FCASQ
GHpxAd0zI6dgx1unJWVsL2VK7ZblUNMXjVscbOOGj3qzpSSJvDuRsE3daevoEiN5A+ZOg3qMHe3C
GRmNUvwh1xbn3lUuXHnjt1aziRz4hBjs2nuHc/62DgEAFXSwTpg20/oCIUPfur1OH2VrRV/SKxDq
5zgdtr1R/mlBvtwLX8R7QhQjoeuQXgA/Yk4bVVGCyGknTP9jnlyFzrnVhjj58hOYe7tP0jy+z60o
OXD/usOvQRaE05I9HVc69cZz2z/RvYXu7Tize7cIRmuyqiOKI907iGDtXCAfdNMzQYDoO0nS8J7x
LngElIcIZInRh97YUjbZNvjFmbM/RkIoL32cNBuGZBK3MXAArdkDQpqU1q5wPU3hN1niu3yyvcus
WVySSst4OTSWZuuI8LcClhEcaavmLivCkYtMHO9CCjMPHRw01qey63aelWT3jtdC44uDCJNmFTVf
6JRxdK1gu37gkpc4aVhRAsNKqaXgnjpdRuAg6AUNuN0zvl8uJh/eVBsCDNeC+wNPsYvBz8vzGW8i
GEJBAHBO6uJYY9e4XgwUKY7AWn3ZQ1kw0XL8cq8voeyZZVnVvWk/A/hl5DILtRvG2jouEMy/IMfN
53TF8ABnAYeqpx1a273QHBF10w8UI+wsha/CGwDFgvUL0dcd8p+9PgdTDn2vAb21ldefvFHK05CL
ceNbYMIqO4EKrUtOOouvOcQyTC/LOphuExO5MEhFcmxdU/NqdvVTMBbE3XicYMicCa5MZXs/Os2y
Y3ftPbaJTx52GO39QsBtY9A1TmRvriNB4KwdLAxgC61nMM5c79Lnufrzr7Pp/7Me3z+oPP+fyDoM
wP9p/8zpAzw1lqc/Cju/fdXvc7n54TiKBSDDtbJJ9f6hesbXDu9ptimwhc4Fy3+DG5kf2pG+EBQE
401Gdfn7XC7lD8djzvT5P5p/cf+t7pk/6zowjYyHc91GWXINrK4/Fs9gULAqj3gf56azp570xg3S
b8nRO+C/sILuDhbXd40T+Lcr3x86cP5S9MBM46Jr/9d/w174J0XJdQ3SFFcPDGhkv87XlX+svGEh
bVP8mPVbN/CbL7AnYsWnhI/R6AwyPChgEgmbLaSxFUr2cj+1sD0PGduB61i21bfGSghRcga+QJiK
ltTSzCUsAzjGuGBZfm3C0GH1J9rZ8DyvEct7vJo72wkU6Ea7vFjcgfaSsINm0/rkNvhIVatsDtmr
uM3NGBLtd237M6GddcOUtUtQyNaddXbT1wWpxvMYAmrTtZSgN4o9pp6a5N7GykAf5zTY15LR6DYL
ZXrt8RAhCTRRDmCb5DH0DX8egZP2gp1qfjc75ZbN4yVrmPYqrXgpIL5IHFiwvSeAajFfPPI8Wedl
PXySstNPnddCz2h7Gd5QQdFcOgVcAx7OwUqRBM5XlZq9teqcBKd9Ej5Tr+Df8wydIHxEFSReCAqj
6u/mstYbGAXRK5xmm/16o60dTna7ZLuB0jdabfcdTPDrcBX4EATCpPMhj48UJM8jeYCw8cUTT4qW
fwX84G7IjkX3LUcYTQZEMot1Rp1fs2JbOV4YYaKTssV4Gh2ruFQaU4gNFvx6inN9I+IljrYKGPxt
beELZQMoLuMWekxfTcXtFJL0w3CGGWy11F53ZD1c0PQMXOGi1P10SU6x20UWhl32MFRdxN1yIp1V
PdWwTvp1XbVoOJ7tlM9crZj6QeRYK0ZKvPC9GfzyNlQ24KhIpzlYrLnvWLFjDSIVW/kdZsVe71Fp
Y3pxI7E855kScFkDzGUAhGfZTbBQzHzDrxtr7BWF/HIszxHbkLDalr2jfxu5Y4vBeLBCMr0NFTSO
tLpD3+Kpxh5YJsNFyHWIgV8o+0JHYAQ3JbmnZ2cmFbZdEnJc9AQVAVpAZ8zKbdqEm6BXzYcAICdh
ZyyvV30fde91oXgjpbV4DSmX+QJeXH3yysT3LaEBZlaHvFM9Z3Oxxeceveoij9mc9QCWFTwr9sOC
MBw3JP6URUVybwcpgBdcHvp9rHRL7VNyFhVou2X7jHmo2ES2JGx2RnGQ/pwfVLlAUqGeuN6MUnXL
JqELL+fRO0yfNe5A+mXDsbobAum/k8eKXiDYZmarTVNe0VSbSnTb0H0eOuJTUHvktAVFOH3kZdc+
jaHPVUkVjftRx0ypq8qjOE7KhoW9myUN2CBZyy+rjeVD1FX58+BgccbP5L0WfaYGTDMZ5Fc12uKR
EZnNHytYxmKGs/yhdGuaEOaePgwe7RWUzsRNKXBmTMWXwcCQ8LpneIzdiUEHxKi7bCOhzIWMBrCt
ESEL+Dqw9mdvGYaLKI2ae1IYtAb5ochOC/ZKNqNzwClCiAH3ZI4T/Wau5jZnujbpMwEen92kIKq3
dguv/BQCftTGdex8z9aPAU9ahCs4CZV36IuYv4/b56wYK7ASt1aeRbeq84gEN6j5JP0JcN/FqD3P
/Egd7qkuHjzXVO420G7zEGLJ3+hKMyTbTn6XgSfdLlWLfZWrZ/1qt7gE/loxQKpBu+8c5vxETVVg
GeJaDEuSRbLlr4mOJsxcU9VVuAcho6z4kGNr7Sa+U4u0CNZGJnm+w/Mddig4FoaAgg12/8twPXbu
+JwRrcOvo7PkzB7ierQXihGX6+sAsKV3nGorpEVSfZwFGr2v+lsLy8GTQe7N120weIZ7caFfx3yp
ftXhAm6AeiWO9Fj4WPA61eAFr7KIforQNHN4kIGlSKOQ270mgSei25JhNdqe6+yPJRmq6KLNbPoG
Zgskx2ruMTVdkXeIXeTjxEIvbaZgPYeoTNtCFXQwFC3ssLH19E7jRss2Y7XQsY23nCU9bxxwNnWZ
TuFKE0JOYWMIf1MHJfRld3Zafol0HISKxvTn7gocd1SIHH3WOetKmQCZsmnevcGSqC+N99zjpjwO
+ZCe2H5wEIv2vCGmXwLGQ9HPL7mRHHqhicdr3aWm2OYpJzUmXtxTM53xhA4c7f0qia0+TKmywb0I
9u5jJVLm295rvud+iO4YX9kNxEXSbQcu+dcmH+WOvygM8bDMXwoaQY9hakqoKIRUsDxmIX5Lit5y
VYi15fXtyeOjt0XZhEfSJTQWRTDGPAENcGEbxE3Xya510Lfjtsd5h8TGPZ+1foXjYx9AMBvxNJjg
Q4Szhzrldul8Wbq4n9BAhuhF2BBXN7SGxcnaTBOGLVIBNfJBNL+elfBHjt/qdmoUCpmY5jcoUvLS
RS7HQE9tz1vek7peYWv0XHjDZ9rykHhQoVQva3LuRAj5GFqieR97p7vVnjVcB1OgboXXOl/08Flr
E8QL0a7e/vRdK6B0U7iEnMvsQunzLsWUMCJWTdY1v5Z4CFmu1K3nQDKy8ALwQ1N3MSzAB9DE/aEn
AZtdkin33hzWHt9LGgAzk1GNrgFz1fDCJdGCh7ubJgV3ZtIDDNUwMK+zrNwPni7xnStlNHFsVbmc
Vgp/MNSNrmLlRFtv6t2IgEc+ega54kOGh56rnw0+o8UzuZmQu/gQsCGbWgtcDHD/63IoX4azaxgI
67SJEkl3V44SumMwwF/Xd5aHWz/S7oO72KRx6xn5b50HdDBX0WRVGyrOL2QezMRXoOnChVHms1ad
faLqzAA+9iR5R8KK7b62LPey1/KNQHH9lE62/mlS5Wd7T/A22/qoPbTdsLSCq0Ff6zduxoTGw94b
+q2OHXMPvycMdmcfAhXSxDBbeDl9wqfT7lkijqN91v2HnBWcMAmJMdNj7j+R+tEvI3kSeZYqCwYh
dNG1Fjz2mkwAfUNS5XHJA15+N9C3S87pDFp2U2CHt+ibuoGgCTRTzPlAbgz+0sqLPIkcOeXzMa6R
x4O46c+xWBIQq7QxYk37SPeOJZzUCsZt6z0ku+uuQZwnH9Nocwr4KmfBIwmzPAAj1nofDhWzCWLa
+DSmo+BhbLV2e6DL3fZXvAWoWyV1M4dXVFXY96LIFrPDZTtSXbpkwMrJa9eHzlXerzxQ5IZ0sDY+
Tpimrvy13Ul358BdfBknxSbRwqpN2w23ciBW8KYFxDRobexEffCNhDCk9TnLsHoT+Js7B3entig+
p2dhFXYG+CKgUtj+MW0OC+L9VIXqpk+wW6GpY+a2B4QAZ95QilLsQ98h4T4nRt8llWVtR9jfO9U2
GUGfQPPIHYLbGZoK6W+czDvT5J/cXSWNR6X9TRY/2VLXRlysKT3/1uub5jKJppH9QJJ594ucY1bc
nR89WLPMr1Q/8vrxoXgmRsFxldlEjy8MqdmXAMr8Y9ugEGDDcaZ5g9zYgp6aq/7bZxr81NEA+AQp
P8rXJcSLdo16bb5t02I9X2CFPepqxvpftkpfjdixV7Fic7MOFe9C6OT0qGxkP4/fsYWTs1rq/GFc
OFQo2AzYBVqY63F5FGHEUNmRh9tjZp4MSaVpPmLtAqyG3Ez5zsyTVqQRmp2jZzviMVbU2XXONJ9v
UkJw4uA0Gdhv6cYPFWV49yV2kS3ERXjducdKR7CD247KjOCXExvTaN2PAgHQtY5pFqBdTKSgWOBG
rv9YggFEBYFJQlzETs+p6mbI6BSQNf0t4eJGMGGrmgnJ0jMvrafLJ0lmhCigSN1tn1aE3JeJgHDX
nguMQ8rVX2aCzu0xp+T+K/Ug/a9qL2AqKqzflAiqO+G2qvJZ9Hb2OLbC/FJ5WO7HeZ4qOuf4jMIt
5JoX2k3ykegyFGwKK+eGdoFZUoNTZP5KhUKi4wyMhz7k+oZX2bB9xlOrORy0xLWliQjeNfQWDmvo
Vz5e7XhhwO4trjmtbsQtCk9NSNc0uHpn/G+PHk17OGCyL/bGk4eVw2AGbAB7uashZ0+8d9xQHnFN
0DbVDYyQUYcRCy3EiCMJZt5wAZ/8QweN8ra1w4rkUqopIdYO1zwswslFrLQ4jCYkDm6VyS/XQ2pZ
2V4sT9ySnTs3KU7SUAwysu3OWeBTQZo+nQXzDXEyF4gD68VWE5QoLRCV5zqCUcHS5ANwE4On2s5u
V629DAhs6TF+NDSFsan0unTbzwsXiyVGPehRgKZhFLCnmviiQEa4G3WX3+Y0i206ydTI9ntuAv6Y
WWeXJV2cW2vmLkKTE8MF1rkbRMd2V5TZHkMWqhHzZdimI3SGRjyLIj8bCghebfKmfSmCoV93sXLv
B6TLrV8l884pphswZdO4UU7v7ksygYfAC8CEjZUKB04oX+ChrOOTJDCwKhuCklvRZOeVXgmIfGhG
IouBHxAUNcWXab2L2oj2uzq3moXDgAlkKPw3gHTm6LG1f1W1G8LB4noGppXLWUb+sMNoQ28b20ln
y++YWreLi4wK6QUIAo9kYiQ5mWM8awG48hHj16OdA5Ui89yvEAGqvedGw1Pl1el7QPZzXCsxW99D
7xXtu51yDWIAiGkRKgIjlosmSUfDSaqmDT2HoTjENFT/smTXwEyNmCyHyOcBlkySnjxZzRCB4Blh
KEqMf4dv2CQ7acCZ9s4Ic4N6TXbZfSxL/KmSSYEANM/MymCFQEMxHFRmBAW2YUZqj9Vfj52Ob+2t
czWlu1NPEJisqcWbYsD+BaWOqiC9A4dUTGtVItKuWWdSBWEX0n3vWGt+AWJQZP1hN8CmwTp58Ad/
8vd5PbYhnTARQzSGGvfLhHa2idnknNqxHa/ReRZEQxExmPYycT+bHC4W8I86vmMtQDVob9v3uhMD
HYBGcCQGxh039JeH87qq2pJ+JipLnAv2yFzOz3RaBUdSicu+qao9yhPTU2dws+5KayIoPS+m+y/+
+7/mYHD1eWv5zx0Mp6/mI/vTcvSvX/J317tNmAiXOv4qlu+S/ePfXe+cx4YLpXTU79b2vy1H1Q9P
cHvxNRqi5/oOHorfTQvmByY6cne43vm9PKzx/45pQbl/pr8TaHYd6QjFJpZdn3teYv4Dc93vE2tM
U4mHm0I3yo6YyXr4vfEa5by/LBL2V4Ho1clFcdrTdNQdMBZQSWNyv7qKUqt70SOTJLDdKHl1Kx4M
vNGL8kC2nVoMaGbGQ+HsCnJNg7kRUeeaw+C6Ywx7sC4/9eL0AAnY7x174bJe6Mu4B/dKIASE0hK5
6bbjJKQjJYYZtUm4wW0iOK2/isqheNIMxrVhhyXNuOoyQHOrmVxlcSL67j1hrE1S8G7RdOksIjgt
bd30RxMJ96VeRvUSeMo8wsgbb8qlqyhlOK/43EKER6jLxBPjNGrPOm7vk9RKl+u2GIkuZ5aAGTno
/8PemexGbqXb+l3u+NJg3wzuJPpWfZsTQkop2Teb5Ca5+fTno+yqSsl10jBwcIACLuCR7cyQIoK7
Wf9a3yrt/kCWFrvFgL+CSZuKzVsdJpKzAe6R5CuhJhL3YMORaAca28sV0YAxvIw9HM5rJ55kuaxg
3eaY/Id8uHT7wmtPpmuT7DRDGypTXWXYJLmRjBTKcIzQl0la1Iz0x+pkSi1p1zrlkqdKpbqzq2AN
2EvXmm/YNvwGjl4mXrYwM6mA5bSVd8sy6diR4Lpz43SHOvueadVUMyiWOZTWNuMFABL5TzpnzstM
C4Mdn4x9x1Wi36mQSS1X+eDKHGYDKr0yzbhuW7CTpmUxc5lSwBpbN2qyQ92MesQNrBmJG2TeNSqd
+51ljeGldKUDDkiOvDV+5E9cx1PQidJpQe3JRD5yMLD7zYBF0ycNgWEaTpVHUxGNrLc2iEFMbr6g
rbPmhD7sqTyEtxAC4AbiOC+czsciKuf1FBtltXPmNbb9WG77eeVlZ2ERFvGsHTPXHuYCt5hTFOt1
hHXj3f5YxMPJ4YSERsPi3oZTsLd7LQVp/7H8y3knsOc9QXxsD4WrE9AdpqAYl+7HFjJ8bCfqY2tR
H9sMxAi2HDnvPuJjI+Ii1x5afwJQh1mArUp8bFt63cgf7sdmxo5UhkRw500OW+SABXfe+8KPbRDi
X3gN1h1v4cc2ieTGMzh8bJ/MONhKI5NdVUCYeZvx+/oeEYt++tAhE4eCiCayGOwYEhxPdHEL9MBf
tdw+gNhA0DG56nA8TB9qIrw53eTg3pvBwxXsgubTTWQD6bk7KpQGpr4AZB9Kc9C3VNJMay+xp1MU
tDlXZjZ+MtChWCbZAIJFQSyDm0xY+qEZ8Nj0Lb4dpx9gp1tdnR5ssAe3UZyuu7xVPcRcNIs9LiYX
aFLqnHU50z07MoUDL2DFNmwiimRfwcJOJ7M3MMwwYSjkAex2ph5wi+EgFEr1OokBYo/Zppc6jg+A
hNQi4xrMktcQFPDNIEv3NcsHUa84mFMOPKi8nC4TGrvU0uCRkZvAqV0sBz6lAFQ8BB1VlW4wyYkE
PqfKs6Zp6QOIEtrnhNVB+5Ajd4WUeh9T4qfsFMs8hW8xanyUeVS5Yf56qcb6WILVwOGDOQLNYoEo
bnFxlvYS7y2/7eL/OnUATLiWcDaKsb5qzb7bGjXRgf/duean8Np/UqbNCxgu/mJzP71kbfzyNry/
159sib//uT92ePs3w5x9CJ5rGb71MeT8Y4c3fyPTpru67Ts+rUY2m+s/dniDHd6hwsXycNYExOF+
3uFRsAijYVckreT+vXoXi+HrT7k2lFwKVRiw6lTJmD4Hh7l05acN3qmGkFkgqrI7gCUv2i0+pvwU
Fc032D84bDyd/AtooLSR25CA+BJV8iEOyWxVbf9kDekz+BGMvZPacsmVu050VynOo6VJoS5ZJS0B
8Ie22zj5U+fPfIIgeyIgzfOtDlbgYvmSM3QaRqU5pJc/fRp/xPh+HrISDPz6y/kWNYU6LAA6cuwv
vxxghxh0WmWvxiJdGTx4WfiDzP2V7nrLv/dK9pxOZKAbGPxj40H9/DZGGpfgvijQEQ2MeMR9wdKf
VFetDEoUfv1S1p9G1vZsMbFdDmRzVNL80siDuWgoNJwZ1Dv1371QeEvmgI8dVDHiMsY+7CvaVt2e
nkpB7wjiYLvUXZuhLdUpZA8GWhBkvbUT75n/664si7PmmNPKcZqnSBuO9JG+mMxEWNNWjlu9Nqh4
cBBwpo6lOCk7wujhJMMmtHTsT7LdW21MjUFPVt8G5L2KQ/Xi9tOzEAkKn4fGlKGS/fo9MOZP7lMr
ES7eAOcAB1wqiZijf36/AbHHvYLmDbDC38awh4xipPwwBsGEYTSonurCxUED8jZGzpkjFHZfvOV4
k379g3y80OcfxDMMy7RIrtqm7xtffhAVj2NURA4OvY5TDso77jDNe/KjFv+QkX/PZXa0AZjQpnJs
5HRXwc0GEOttsfHRsxeY15ZsbmngW42O2GI/e5nS6FuhjM2UOzd/8cP+6TSP54BFyOacT8yWJeTz
u1bCsdUycmNrXZ8YvhL68/Thzu71W6G5Z2yqd62s9il9ZtPobhOhPxA+5FJqU++J97iZ0lVvAOCC
W7ecqFtn+Hc31HR7//rn/NOn65HoxRLhu/gduN18hHF/XpQi4SEpexqVIvltTbPpBlPWsOBkeznM
F4IQXbJI0exslyxP1kzfejFRB4HEzh371z/M/J78/AF/+Vn8+T396WfR3ZpmeepvVyElGyOtUVlg
cLSgTA2eb/uXL/exJn19PaboOtQfXOmm/uUL5TFp9qfcC1a0O8F5pfZj4XfAygpSisq+NegQpga0
qFZ9pQExKbzkiqHXnkvWN09ZFiHdsF1HQ4H7ICifZqYS5o4NPKC7CWLZ0YxdEPIEITahk1wHnKBX
HGEW1D2eMMvRQeBi26VwBegjKgJFE8Ya18GRGyyDEubDa9sWp1xo0SbE47WoA+AWTHsVtCm8wk6B
Rs+c0SLJN139+oP4vJh7lJ8R8zZ1l9G7a3jURn3+IJD1c+B+fBC4vNeTHYFwuhhTGjyL869fyPzz
Y+Lps5CFgY4Xsubr9c8fuTO5JE1Dnmkr9cjMZe+lY6BU+jXwhcCS2L/jx3Qcbm0x7TupbuiKfw79
YnYeht8a2r8hM71FHoYaPWOEgr+9a87zQOzXP6f956/m55/zy+VcDwOCQWjPWFrcuVYIfr9HdjQt
nkI26IWn92Su6j4hzhiDXx3LczOC5fJrqocmEsnVMGkXmEw0IoXC2uHE689N2xSAoods55R+uI2E
SyEnvt8HOUDvq0V30VdcNuxawp7qCMxqJpjJMuCFQd3iMp8UqVVhU4JFVz0YBRDqtJdITJ/V49il
L2Fcg4qqB/UNbPeDiSNxNcvjPwo80riGo2YTShEdCZNPmyzOH379nv35S8Rpx7E59bBNo8F+eZqz
LuC4YZXBKnLCC6roWQT7ZWJ527A2N79+KePfvRZnDgw16DcYvb7s02OqU9FiVcEKNKh1kBTPwgOy
jjWj94d4oP2GDgQEBXVuox+RlzCNwG2wMAM22KGDTzgpw+VDQSo3AvUXP9znMMr8MDHWd3hqMeXx
NH099uVpbxQOEHRsKflBkXxztOMk7v/iHfh6UuFVsP2xiHm8BorUl3egMTOGzwzE8akzbBxnZzRs
yVXodFuGmLOoIG+GqK5fcuHcp4O6dkD+khPghmOXEpRdUeOXTso1Xq8rHPDxiW50oE+hZ//FgeLf
/aSub7Mp8rWYzYWfH/kOSzAdnHSL+G7FqpIQYkkBO8boPhH+ePqcvI2OSORTf/rrN4mT/Of9xfNn
dyRZXodd2fm62PR+0U1VVIWrovYewsFjicHiGlTU/5g3RISZNou/eEnj372ma5iIRQE7LJrP5982
KJRu44GCwiDCLfd5Y2Em9Xio0RtXZsLRvpDf46y/B1H6kibui4kHahlqrx18kmWsVdWFP5Y/UmIg
RuWhOt39+i2x/7QA+zgy/YADrufN9ZPzz//Tnjtqwqh07GkggiQ1x802pCw3THlcSHlD0Mqm/Gjz
JWJY+yN14oOc3G9t1VCP5YbPjZjqReraNyhRP9I43hRQ+qOeC7SWJVeDm23rGOKoU5FErKvv+D39
tSejTY/hHJxttp1wAx2IY4pFMbYrNUqxyZz2XRX6nVT2M+y3Fa7yDQORjc3ced1b8Hl//Q54n69l
PJ++6XJtoYzA4dkh6Pr5HSipoua2EXsrwvp3ZuFc48neeSVk8RoX6JIMc7Nunfhc0z+5NEL+TQVW
knbFdt1F7U3XDDcoNGwGmumjr9iQfRo2eIyVPkFYj2HPqggIqRhWc4rarqPImcVbDNGmGVxj4RUZ
oVN7WOEff/Ght0IQ8297C5aGmZyNyFplublvgHn0KaH8QUc1Q+94i+fslTTFRSOTVc8PaugFqI3x
NKbpKctJLo3Ceem7jjJoxrEpPU9d554BPWwFd5D1CP53QVx6ooOF8BLsNvoK6FvTBwNuRDGulJGN
m9hul9aI5Yf/dDCd+jsc8MsqpxESUEn3/hcfBe/0p/OYb3Fc5tHkajenC7+sDNItw9IT1FdT9yQo
P/B2fbUTOGYg23280v+0ffw/SEBhFvHrfOflW4KA8rN28scf+V078b3fEDg4CpPm/odC8rt24hu/
2SQa8IjrNiQ5LGn/1E5ME3+4g3jierptzNfyf2onhvfb7LlGcQmMwGYDDP7OdIQH8ct3A38OoUUL
BRdYBIMa8/NTmvSuAF/aTZs6r1ATq8LJeQhHTT/HXhPDG+DkLWsjXAcFnS1rMy/CExjofMNmI47Y
VQyQLDp88N5KQGKGdSQXJuZFCQuctM7WhHB7Ho0kJntSkdTAaetTyJYMzYGRvniaEhjkEKMhXVp5
TAlM2uxk0eNUAy6wEyTALhNSqd1CAIAMVo5lM0IpaIgnr6dsOcwtNk25N/3cPibckhFuMbdS8m1p
Z7gSmcBnwZLPNXXU3sNWgi33ByN4TYIGF4U++OeK9rADRBrk5YKKtpPvWO4jhgW6w5Cc8Q7NZu4K
Y0HTYzi2ZLTqgdU9pF3+PEx6ck6a5C6EFA5CqOgBubjNC4bS+GibKK9gd2ZXlZ2f9SQ1t2OvMdIg
IbZIVBkDLNM0bvU6mZoGtmBVTuuAt25tRGlM7yG9ITrtCDdNCe8+C6CQV2N+NKMu4UKUvZn4ijHT
VclN6DtwDY06XwNfUN9GiuZOMRMhko86Tgq6djMsISlC0yGDlA9zQ7dIqbcSe9eiyh3/qAHFpx+D
fiqgzblhMDMfB44PMAChiESTfuWqdrwJ+jwHio9jtV3oaSQuM2vElwEMvH2pvHgQ+wHv9BF2vdks
dIS5y8ovKm66wmeeXTSkUY8Dt1EL03+Nvq15kPeIDUXBVdtj3V66HVy0TalI++CNBxsDeo/sUOiD
Uo8AaCcbDvvs8EOWXqDBmxcJc4tvWi/NTdgO5bZMNYgyVd7nNwKH/n3dtc7a6fzxlLVFf9nRmMdH
iTAPanj0Me5Aie1v/ZkgvKC62Hxk8u4+VLXRgNIbGuOahmr30jWRXlZ071Y7CUB+VwT2gOAne/XY
6WRwGJuk1y2FNmtLo46KwnqlotPArwRKLjeqtcNFM1xi00xuYoYQO3R0OPZZNG4KpyjyZZjNK3Lt
VWf8jB1b/a3ZJAiVQ0/GKn6oBgF9I1P9hex4j43WS59HT8grp2r6pUOr78JvykvcbRf45mjNkOPE
TCq3zqnQeMuItC4pDhLYsrEgb3PihzzVaoyBADZIpBTy4omuG7OZ1pKxF564enRWNmO0dwpZnzsr
x5IlrPI8iGCEujVgFEknT+wkkyfGc2N1KKe5cZSQSHiZtkQlFmUflkeMcQ3B0MEAQ97oiXcNcrJ9
oPE5pneaXtVzGxjNE0bIslgZTc3J2POrmd4cyhEPjdnKfUk5aLLWe8tX32ydD+m29ckCtk5ZveXB
ULnR0hCuW598vvtBg4CFY+JRi5C19nEKqg2beg9Du7LsjHYkNwyDU1kxcCHVSctu51VZsBgkRPsD
7LHEWmKyVvcM2yCLyg7EhjnaxSGuErFljpFBx2D+kW7o5DBpUSV3n62xauePSTIOWxk0GvNh232Q
IhhOhtW1F5B2yvu8cRyAL6bLBMXPR/3N81DQWjKmZ8KjTG6w9m/6LsWGxJDJglQ8qteyDY3nvOEQ
4jW05o48RaywNRDztKspsTFhKeb6hPMIDoyo3qK+q64n2w3fU61Vu8zjPNMMY4+3WecvNkKiaWuC
fva4HSPLae8SjWEb80dq6JYd+KrxRrWCGjevhbsBq5H/dR+llrHqsI4O6wTiirsLzZFbVyERaM5l
4dXmvpBzAtQxk0EujCya7lJpm/RD0NWNyIQMDLDWtxt3O9d+UIPbBtl5dCoKWLzI2tTY7omDSK6T
Zh1WW0qRp6UeVHyUeXSZt0V+anymlfB1Ry7rdoQznY1nUQxtfaCHEli3DNxhq8axOEf0Jdw7iYhO
Hd3u8WKyzfqbbPh1lg1hCkbRwwj6zJPCOkYalNwN+u48gMxrL91lUTlAtk0K9V3HIA60OVPBayw0
Y/bmY/9b1B4ZyIUSOs3YrjfH0/VCQdjAvIopDQpHftPScmKuC5oO4mNIEUuCH01GlPqwwCeXXqU3
UHXiAZWSY/p+qCGBnXO7GnaWgweM9GlxrMiv7oaQUl/A/+O4TCuWSX2IuxtvlJQc5o3+IrrpxsYx
P0/AQyrSxsyGyq61JIfxqXtk38ueQIk5Ze5Lgwc7X2X16D420pHB0nZrrG5ZN/XxWgp3cuGU6BSV
Elnolroa1DtTff2elOdw2wURQbKqV92ta+nBUfAML0bNtG+MVtiPAMuKIwu2fSCIhqExbaLVMNBI
FuT2uJRuPCx8GnumYDqYHQ/sgiTx9FbkFdkwac20HnDrrnORUM+rLQs+SqihosDq0zaDVm7t3LZ+
MHRSclOTS1DXVqTH97Sg9vPfrvvHzCjcaAtyh9KqMWW9Q3Lq6oOo5htGw0D9Egs7IRcwDcFjnVMM
RrksyHb6MZGMqALrQ26GlFqu3Jjz2oL8fuZQbtryQSc2JMHLFihNt/YpI30WYaZfNikTTwbL0u3R
GFXJGQLs8Ur3cvksyCGAbp40cj9Q8eE+O+1tO9naC14Zx1w6svVwCUQRC41exPYyzk0h6LWzi0t+
a3EIY8BHO7fWqeHOYtm+txDWrRU5k4gRK1dOb1eprgRQLKkBnfsTEnC/esyC7U6GRsNsVwxnb9Rp
pq5KYhkA3o36zeDCSl1b2VeHNhYWTRWD+O4jDOxqYHXfJXZy7PRj6FNFYdLZjDO2mNZ1RQgCQVaP
nh2ErZOjp/2jluQTxUKqTc+9Ud37AxcfCB1JBM4Q0f6IIzBdp0WfSpws5RtTB/xrRC2eprKq9o2Y
2+17fBIXY1YzpyZsSwEEqQrWlBTxNXf9TG3gQImrNKETkm4nSN/4fFNstdygAXvJrJGoGtx3cN2Y
M7SwoLcBl08arTUS8EfN9qN7YoXxO0hRi0e6H/JqXckKClwylXz1mHmI1dQ1Nc0opgRAJ1rbXeL5
powtNNOCVLgEnkwjLBPvuNk2bkcVuKDyBpcvSS4VbzmQ7jIssi29PWm5sRVTQFyAboerlMGE5Q80
5RUU1OitxxKYFFn7OCRBtrajjs4vUkMcLvlWHiJalHYdfXynCgTjHV5EwF5dWNBIbY9gq9w8X7aN
Ll4jyOgJQNzY+k5f0BLc3zrMqumZaeY71a4wdSFsYOjALEDhG0mIhU1z4CLA8FRtqVRRaP9A5rcK
K4+CvNLoT4bNbvQYC/Isi2m0nCsLC+d+wiDTrClOy8Uu6igIxxvJpZiFtsxegVwzqZpYIFYoqjhi
XT/Welj3Qb2jdp3IEHsABaZQmaogGR7IrouFM+TmsG1TTpkaeHSST7G2ENRqqp3WFv64aMoSSyoc
ueHOz3ImgY7gh6YXt3hlftU8mWgAzoqwjPZOwBGSB/oDf/foN9esQLq5lLpVA0vLqvZKr4fgZOtG
RETMs4KrLC2bW0R5Et+hm+U4PVUpvrmEVEjq1WlprDigqWffH+vvMvJ4OryuFMGRB4+DYVLG1Uvg
yvYOPI1FvMEyr4rRaO8xv5E5s2pJdMsiHcU+Gyln2SdasCXDOu749gyoN7Eu32xQXsmumpIApxmp
MZZaCnoYSg8+yXVl0UGUtt3cWGnGuzwvaFrTWi96YoLuktobwLrlMucD7CqLtCJHNuMl8Ft5MNwh
grpKRmOBw5sj2MwNX4LIIiKQ6xZjHs6EOM8D1Z5UyJh7IXpVa4QCQz3YxqVdvLNIYMIeBu9MBThY
azWKcs17plfL3k8AJHSU4a7GpAzDlRFWD62b9kceVvCdCemZvraMA00f4wKevb2IHTmsWVUJFFId
AxFzDgEsDDe1YmpYVHSfRnnwFhHX5UPH//Y6Sic9NbUTUKuRAFplCNEYr1iugODocQQjNDM3teLe
ONhljRY/HpuQhIuYsnSNTya/tNKpvKo8dyZVa5G7xJ3DwkLaYj8wDVhCiBcvAQXbWP+pPsf2Nr2O
uWDAVPtz3CIo09fapOBnGvPoVhZG9mSGhX6b0MdN+Rl7yEVf1+GwNY2yhaHnmdQY8GDBGoP+CGIj
aZqjyWOxHouh86nI2wE7VUvarZQ1EXQkUqiucTH4y8quqVSUXuAdVVTCZJdjlz+0sRXvxonDxapx
8ylegjmL34htcVissHwLxyu2GNenCLBsGR+jLpBXLpVIe1qStbvA6fNb1gtxiix+DU5GDHv6LIb9
OrDhqkn1d+aAg48PNOT69eylrLZjYEe3opr+QjL/OjPAJqKjI6A0oQEGwYcy+pPyiWtx8PICWBSG
L1oxSZUTpa5c7QjkJJsWeRCWb39P30L/xwSCykjYHo/KLKT8rLX6Fh+lVXe0rzZGeg3spruw45kZ
VBregeiMtzVm7tSvX/SrAD3/mvQaIG/ieTUN68uEzcSVPYVeNm6heecnzjXdFUoqmrdOFXw9NRL+
sHL37TCI3+W8/2mR7UyZRdVWP7rPrO0PhPS/QNz/SVIc7iPkq//eqHwl3xD135tGfZLjfv9jf8hx
ENHgNczCm8PKjzPpn2Zl5zeGavP44g+3Mv/lH1YmsGy2ycAN1oELs8FGJPvDrGxA7wYHgUZomQyH
MEL/HTlu/qL+LNS6rPw+ciFbkj0r51++U//ywsFkeg4Jzbc+R4Qokt4yx5O6yIQcN1HgnerS+v7T
O3X1+4v89z4jEAxfXvrLINZMDTDVeivW4L05WsW0rsbUndZZ+DoIw/+L4YA5/yY//6bzQM3AGm45
+HZs0/wyHqFzNsX3UCpmVJkNgCXsYP17rPe+mW1UWz/pUZpu+aTFOs8liRKvx85ag9rtXfkE94Vm
0Sl6SIvsClPi2aFD1aKmfNHp4aOYyeWZANNIkdrRoLxi/ev3CvPbn358hq++72Bicky+UF9WHLMh
q+/2pMzJADLUsGA+LCpEPLZWez5XTQ52MOXT72eNVzjQk1s7dC7NUehMUtmjdSmesgnlIvX1Z80u
T7Flb5EBXiOPgHdcJHtMaJxRB/5fs8BnWc5om2jwt3S9YWzwldhHwtTvtFK3yZrlDeDofKX6aOFN
ACH0ZRonAAviG9uhZEgNry2Di4xkNHTtFV1H3TJKsmtYbzc1SX9bvJGNAks3Lr6NyThtPQVtjXOz
d66agCO5AaI68KXc470osYy4Oa0r/DJjaT3YjWFtTQgRd26mX5dajoIY8MqW6PMTIV31Qkcm9Mog
RXUA3nw005zglijZjpkbNSvbkMmlajyselhUdzpFsBvI2+PKwaB9sMHYnXyfncMO0vZqoDUVNk5b
Hrq28r9ZOk0MUZlUlz40MY6ns/6MzvYNiYJO7iE2X2tnonRFdjqm9+NgxsPFoEOgAB3atpvUyqqN
45rToZS8BOFhXN2lsdFo1XhLkvQtiSgZJwAWgFoTw8Z2jWutraG/qvhACdsziKKDgIEV9fgAPT4a
p1XNziA6s6zppd0NRZiu2A7FmQvYepTVHcmt8vTrL6Q5q/Q/P04cNZBRXAsbJsdBYDD895/23CAi
y1d3yljLPC+jFc1EFf1qoospIKSNE6XCse6gMI+nKZbatzh0ZoXXp88oTASSt2fdjyZM71myG6T0
30e6G2+tTM+3YJLbpQsu8Ca2quwRXL/kchnqPz5+hf+/qd2p+v3//Z+XtyIpV0nLePl793l3CnRW
l19tamX68vpv/sgf3lz3N84+bFymxTSVWkaOY394c63fWKEw5eJBY33Xf0ITwQV1DCyzAYN7trT5
6/LHfmYG7IKc3fiDnKcwKpl/az/zv47B2U9dvCNQHmyHf2YT8M9fzCiKMjeBrLCVsm93jZHJlzJx
a+gNVnhl5Vp7HASd1blmV0f6jmPsV2W0b0Y/PZKJgUyOavrgl8p5Cxq9XArC+xuPgRoTgHQ8alkZ
46PSmKc7Tniw6SgEYDG9gHG7qtJkZUlTLdyxOIK2BjoRkNTxqlAyAKDTSHExQPN4MCv7LbTp5uqd
4pC19P2ZRY5FEGF33IiavVeZfoL26Rn3uUPzN2b9OD8gjZbnOlPTJafM4jtth0AG8Ei8qoQLHK83
XGJt1zamrUU8a64dPQAtdJaNBgzCJjSxaoIw++YUkmDGxKtSeErsHIhw/dbrVr9H0I0ebTCMe62s
LFoxQaOKsriGnlm9ZCqmG91QBRccf7yUGh7SKnZGa9G2SMczg11exZASd7Sjl8cqGiS0o9YhwFGa
MZnW1LwnTA36Zxxvk9SKLtqYFKuJ83arFd4Vgnx/TyFF9C7ypHlK3MG+LhiXLSqqRSD+C1riGliT
hUtDED4TE0CceoBBL65iB2YL0UhnL3mvj10RJvCg/fJhYFCIhK5boAkixjlRtmwIurwQS0gu6FtA
KBQJ5uRFNXj9Lat9ceHVgG9s7GhTknEakq54cuEjIQWr+ju1yj9Uqvxp5QXjY2zWuyx2MClRYpXU
hnHdgyhdJ1ACrlJvCJ5sd6xPRMHto1U0M89tyt+YCFDpls0NqC0NkReqtLSLcqrnLRpb53eiCmJb
+1Gxb0duU+A7hkOh2yEY+1LsWMlpZjJ8Y2+UmnkWynsPm6NhPlkprzxH3G4Rc6tD7rTtamIGD/U0
lfWa0GNEd5hWl9QAGEVxFblVdhHEE9Z1bVL3Jr23l7DNGziJlXgkJKIuchWEq0jv9RMtjdT8IRUu
4XEMK+DXhEagcATnglR8tYirut3pcWjNhQUdaS73B8Y32gjIjq4F0ZaN2zFOirlG7zt2mQtuOvcU
c4lVkDndBtMq1Udsx3cB2hRj4SJ/cWMNm1dLRH/pwMdAcEbqSxuELzEptZnoR1uOSlZLTekCtbvS
1/aUcIxMlDgXbqXI10pvm6d6sS9oxijHZltYJYwSf6rPoR/aKyf1MbK5c/y43k7Eg2s8Q00KnAV9
dUmS/NWJ1RaxKjmiPvmLWurZNXp2gijcNtsMAc82MnvjghDamgDc8Tnp/nOWjKpHKSx7mszEcOOW
9bPtFq8lcXpnak/Ev76nMAGuJjw0u1pr7A2DspDFZ/4bi8a3loMxEFSbbobWvvGhc0H7aboVh0x1
S9lityCAW7KNFmIJAesNNNUFGfRxjVxI+7R0ye67tXyMZ7asTshu22SuzhQAnZ2SPePIGLU7VCTb
1rKrvfcOR9sGkIR1Rt7lYeIYvQ5RUG4tjtRre7RNFo9gXLb9jA1xcBjyPabq0FBzwmGqx8eIPr+9
5aX4uTNOOBzEq8PoacnSA/i/7atU7UExEqwyOMft2ymatrS9TFd+NDkbtC/QPXN9rgJtBiiAT1tl
Trx0Jjhdhja3DwQiX2uhR1+LkpxapePPLmbrtcYiRzwxq9QJYdGgHK8bD2Afw0fEqmkJha4+dcHQ
H3QxlocyH/xdXATl6+CU3ZGTGuVAQabf8JBjWcMwEC44DlLRNZqDde8mlWdSkpzX66wcJQcXwl0X
bcTCB7DDtzZpj1A9hkTAx6C4twYh1rVKthoRJ+z77Y4Ji7diw3Ce+lK7lnNoOeE3D0E590k5y/iw
XLBypk9NhPBd5H66TBWQy6rCoRs2eUDBhOk4iKIx5RCB5PmH5koDjZFsqb7Ur1pqdjLqKFF7IBsT
iYem4Z1kCscJQhNcNprO0omoM3aQ23Lqx6NTsXfTR2p3tzSrJ/NM7S1DQ9sNFb2G9Cyc4zK5Tsm0
rqh+GzeTD6YiaakX6jC+bsEx11vLYQV3wNTiPMVrJAtOuwxsruPeu0/dmoLwnr8A3kmtnuqUZWMR
hQV8+d6Fc8NcIlzqoIzbPGy2nd7OjoFQfUs4wd/obt4f+dupHusp44meu4xVP0/uUEUuoDms6aoZ
GJxFxRrhUqe4LNSW8djGJzCx6WEk27mHUymYblv2o1ME1nNrpRiyhJ/t2SV29C3UtxFc6K0SMgR9
1/eUaxRxWT8RJ4+OwlXdpVeo+lhpXvfO1F1b8M2dt0HFJSMryk3LhZ2uGNCzrUtLfDHCItTlkzRB
/KTFkb7H6cIoIq4xsck2Cy43ZCZC1ykl20CnUxZVgoUH0mpzsL09YWdYFhyFF2YM299OrS1l9NsG
X9WiE6kFGQs8+MqYun2Dm3+kJwECnk+Da56+G60KnI1bMjhiGmI2t1Y0iFPtv3ujBTHEU+EFnaM+
aHPHPDq0uZfbfsAktyKS3L1MbEPvFBH4qxoa0pWRYXuGOEyT0MpL++kOpEp3l1ETplFPkwGtHvJE
XKue5gJV47HRVBuvnK5oHJglSn9g6UnJLYXjthUlFHMTdp9uonRPfu5TY9SkS5AE7q1GZBcQsJoK
oq0wzVZW3N7VaPNjK/xLqjVlvQCd+qASD/RWxREl0uv3vB7Hu7rwcqiz9MRSxs7ubVlFcI2b6GH0
+quqJOtflvEF4ujGldAVOks+QUK4b7i+gRzIrGt0lWqDx19t2PaCcwkpKVkzqfSeUoecVcWxInKy
72lsb60q2k1tcuwSb0cnkmTEaHPTmewCePzcSrGG58vbnq6r1Kk2hi52lSOvlKbfZHr8nQ3tAafH
W+vYWzEOzkU9M+kjww6WlEHx3VWTwb7LKYzKSAdA7ip1J3WuW1tfhngcVpayxQWG+k3OHCymDMRr
V0FsSyqh4eB7tQCJrzHdWKV4Iu9Yfv2T+iC1djO0lSN8uTcMTp12fAEeMDlq4JlWSQ/oVUytfs0p
Tt1WaY5rsB+cK8PHuVukb3bEAbYYbQnhCF6QyOWZLmaKruJKW7RzLy6xYtjgRGgpDqXp1rCMcWdB
ZF9WjfYCbbDeKZHnJ+ToGWgt3DV+B2SK1h1X1RQ7p3YI4VtqtjhgnzB3dTVEBxrSj4U2imdY594D
UR9/Zfa4WxaZ0mDK4OC6aRB3L4PQMLZDWr34OQWoTtAAx2b3gQfl7vGdqGUruieBH0r0lbNKTIIu
qoC03GXpIQQE9+hAVXkqi0FbJyLW7ku7WRXufIN3FO4XqA/a+6iFOAsSw70GHRMtqfrSmWcxYTy4
IsvJ6uFBwaC9s/6LvTPbjRvbtuyv5AcUE+Rm/1hBRh8K9Y31QsiNyM2+777+Dsp588hKHxsHqAKq
gPviB9tSkAxyc+215hxzaC0uahaeglApr2yHl1RYkN7W5t0jpqrqZEqn/lTIAnmMCU1yVVuVwsLD
UAI1UbPRggq2dCwD0iGzwANQqGwQaxCzYRrmtuy74D6foupaDYXjV1EV3Oh1qZ8tGcKz0dLhphBp
/liHNcJOwj+BI5nTjQCHQ15xm34tMg1+CfHSry6ThO0IgpFsbCpoZAfGCUzsjA5KybMXiZv9ZPZz
bK40BDBHWF7ylphb2iqKVcmHBrQVS22JFq0LwrOWquoWlot61mwaTl0f6ii9m2YfzJlGLyUPn3Nj
1lYBcyR/UIbsq1F17llxSvNh0jRlhaIImCAmuE9uU4U3CfPe2wJV8mFwnIpXniZ7Lj0zKGafEiKR
EXtNs7xc8+i6iQ2iR82Igq1pHrqI1ozSjMPZ1hmpW0OVn42mbY6ZatprYoO+EVEP/WQuI2uTpxOl
G/m0G/pgzidtrNFj5Jl+M8xWsx5brTqGTWxRf1om+aKm+cyWtYKNH7rfyjYQvssGcB9NRKRZoZRn
0PpyZxotBbmRV4eCNA3eGoa7wfHH4EjIq0QZcubuVOaOdDW0PhqTG+HGZzHXl6ADBUQ2EwOM3QLd
nhPahyWRhy1tzJM51MkrJ1qtAzJkj6Qw0HRLSZVeDen0agbzlxY26spRUamUeKiRMsFC4lMWzx6o
6YzAoGMQhec+SagcNfdCYGr30Wb2Ho05+SgX8/0wp58KByCZDGP7ouxQuJhzvMkRmHiFaIbjsskH
g5J/q4ZyazoZ3PDWnYj2i1y/nKr4IYqEAmp3JJAp4pnz055ZNDhv2LddrZ0MSjCvEiK/DyngA/Zy
/UOomhYWF/U2hoK4MYINcUBbLamSQ5D11/Fg+XY4sLhMlOSquiGlYzpPwVxt2hD8Eq7zy9hoPnN7
kqCHRfXcFT0+zKlu/KqtbPbclrGtZ5qwq0TNAefp3KhpAHW3hjDUpdGnOVLPIevnmghIsF2VIzcI
UZV1XypizT4v2DkYPPzEkPV1X6bSR5NZ7frGndeKubDxzSY+aD2j1KrPnMtunowtJMAKB1N40ds6
3niq0fAgx04bVindMz9KYiF8qDpNwFhUPMJg8sZFB1WlCx2gSEOvKBUmfIm5i4oTYGKQIWE/nOjl
ARRwlLG/bUgs/gSGjYdHJ+bhSx3ks7IKAL4i1ImqUfXUPr7Oak25GQ0za7N9bfSwNmCTtZSZZn8u
siQ/x22sPfMGrM94KdnmEltNjFxC/PQsCRXyNMV96vQ5eBBaZ6wrssk5HTmxP83ycdqTlq1trcxt
t3YZWghFx+QwtVa3N6GYgTE2jG3Xi/qLBUwX/ihxLZ8KZDGIB0iga8qSh7Fn8eTSuMcAx8K+5SB3
rhgQaFjggWTREIwkauOJvfTw0Hcyu22rwTgnsLu2kZYX84oUq0ud7/RaZIKDAczzEIrhW5nGYs1O
SB4itdcuSQKRh24MkB7pek/fwFy0WAyxL3nbauvMIL2O6gMm1aSclJgEmCTFIGdTWKxcrVIWVSqY
EUHoIWV6zGNLNJd9a6ejgjRZDBTcRXYBTmONiBFlb2iyYvWh3FlTnxzcWie6ui3ugCS81OVwMU9S
WcWD/JokRry3q5pkixpFDpPvcqWPjw2bH4dnmKCe6aJzp2cCYJSDxItx/X+l7/n/0ZgObr6r0osU
YhmO4O9enB//vr/pv3ytX/54yb/+cX4JX+o/di/9t1T+8b/5C/8le8nf/smX3fsO6E8/4q9+qP4n
gziBOt4wQc5wGH/3QxnV2RjpTVvnqcd8/a8Bn1AZ8JG25PIPHPYCJPi7Iar+ubTW+X2czvIr/yNU
u6Yvnfj3nXpY7bohVOowyxCm7X5oiFJaDXGIIBzO7X03AUq+Q8K0iXQPIii1B5tOaW7U5ka/h8Tj
wsqO75tKbmT2CDAaLwus0t7w1CR7domzSCK20MgfaYo69bYnlIVidR85nydgYVEZorCTj93wTGkI
3a22Vup8i2t72Q1cImra6IRYOK8EYaa7wLrrxTn8GuXYbk2M/8kqH9g3dV5gvWa5BVYcHQOkQM1C
5N4S0a5q5z7L/YWfmtKbySzYKoQbsZTGsPy2qhXXm1hrWUy7FMYdyxyLRT58Vt38vmnVayI5EUWF
NrBKfSrXiJo9I//SppcWEpZV1yftSovZKQBYTmkskGQ72OJKi2P2jPNe1+uNOomdgjg3YasKmYbd
m0Z1UpaX6PyRh5Ag0/EmsWIy2jWaAyWiUUUnRrszci+vjE9qrGz5mtbgBtaFi5knYMLTMIA0Jq9u
gTFZ5KsnzYUu26vWAgYf6F8S27oaC46VetTEZiweRjndF8q8EZm7JtgEZTSm3FUE2nxl9fzWMJJX
YVZ2qwqnMR5cea7YN8fjbzy/ePY/3ls8dyoufuRQiz1yAX+8b7YnvdqMQANdMiKy+7pVCs8wmisC
enYRSeimoDeX2tahTfJtSnZrNm6BM9CgxaE20XFeZQ0zZuTRe0umOxId0TgPG5B2IGsD/Yq0jc04
mre6YSLDi3nB6xIt6FGlCVSXMA2njaY4a9g88PbmaxM3h2MP61pzzy1fIc2YV6M2b8zkE/lhOGRN
T9bZBuY02zAEL0tPDWYOIXcnwqt9MRZL92lXzupVbdabXjeuJtU90Ue/oNW4csdsm0XtXUzyPLfk
dmZSqD1bJk2XuTugaGWbRUdMKWi+2/bIS4S7MsHzhpn45OQXdpVuFQRzBJ1+ztoJxZW6C4Hc8Sw1
KhGh82kekXwCLWZ3vSmgAWb8QuIHZLNStOnAckHdEJ7j/E7U9UVN6dtow10+PlO5j8dSTAUADQ0a
UgBgT4nSJ0I611HJGzLmFhksY6NZ7q7S66/qyDH22XQZTl2AbYa9Evyd7lgNy9xgfn63ul79c9Av
lkn+DysQdwk8Ah1aG0g05KI/3iUzHXw00nmwpun8LVS6Rzhm26DWnqs6YgJYHzS7vkHmep67/jJs
6n08jGcpUXAlDWVfZZ+wXcaI1cp9PbuXkchYu9obJp4Ivlqa7TihSzP/zd1NFfDhuC1Wbu5vFnBe
MEyoPviem0V7CeEqWFd2bdOK05m/csBm4Y20QKEzm8zBI2fbsi5SDO3IFstWlda9CHszlvm2iogI
shXQ4XU10Mqwbe7ZUCAnkzu7iwWhCyk9wf6WhXWrp+OVjLvbUtHuZx2nYS2+0ne+zYylPeq0fhHV
iFYhKLGPbIv1CJYCir54VbuIvnfbKsRVD6C85pIWfDncRH1/NTjdsbQCstCs/AImbrxBy/Rc2WzP
9KS/s7T0Ei4r8XkmCd0KDVxTR+XfKq8utHvPkdarpaS3iO+esllusSOlG1N7pSbeRpSK5IiCban2
dWNQYLro+c2HIdO2yFBdNGyfh0jZT0SgF9mwbki3VAdKVLDgifmY42cfZLQzgnGdme2FqsirpuXt
UarCB025UzToyVHXPcZ1e0+UMOu48TQn1X0oGT6JfPZ7QuJmpcXsTW5RqO7YYt+S27RTUesTdvcl
UMtbUDaHTui+hRW3jpErx+Tc5uq+KIcrJhS+SJ3bTKP51mWW36nuGgscmyG60pG64as/qVq6HnrQ
bqN8xH626/FKtTa7iumC0Kw2mNfNZG5aFy8pHF6teYrnWxT4XiIdiKhHFxVDnAePNZdwS54YvPNA
2zBT2yIvWEcDTYxab1/h8npja111jBmrOkbRPWMubeJ8R/qa6s26UWHOtdvHOLOvCwC27J8IlK4H
2oplf0V425cqRfSmiFfpZPtAcR8NulmBUnwlf2+zpJyviiI45TyGK7cvrtqKpCua73FR3maDdZOE
Me6xaWBmBBkMe4dHF5ufb3236DYNLdQAXSJvpicoBzsilXZZF7kg4yVw2pbmd5Q/hY15Yk/9kLYk
IZnWkzlXd2PWkbYXd/sqsF9noR+DLrLWA2O1VaqFZDVaNu2AafLr0MFKBuYM8/sKFe4l/q16a2M6
MJqZoPKhvin06SVhZwnYvX1SARMunle44u50VRvtfT87h57pHVNUuVaSfSLMB9CRSCU10KNRfKc1
Fl3a7qiO42eyBvA55KmPMWynDCgTiTtD00+jJnjI6NY6NaNCg/CTTsHg8WkG04GQ03OD6Nz08lqn
Xz9xtxtx+TpLkB9csXF0b8dJfxSV3GJv3NdadYP9u0+cV3dWn8dwBCA3brTO/RIbAm02honQNG8C
91tm88pw14Zyrp1zqZ1N/TLvbuJeXtVK5nc0gS39pp/oF8TOPf5qD9m5B2ARf5e+6svRF/G3RE7b
fCCpvXmy3bsBYqEcDWJcXl3y1DXxqQtv7ZCOq4OM2bhe1MxhQwupE9wuykWs3ozY2VfRfFLJYLEn
Y9XyjpKWsa/tjWlk6wThshsvCQ+X2vAFeJuX2fpTC6HcmniuE/HEmDYbB89O6ViB9WGtfEQXlXid
NP1Qfh4YDWXd6xgXsPfcz6OupxtscZ+V0tqRm71LpPa1HxhSdS6bsgQExFQlxH654HynatW6hbOP
I6zOSu82PhPSBzkp4XoUk/FVqXFGOYrjFzqzxKGYj2ad32GMs/051pa54qdimh6LZL6bx5jRW2uj
Ia4lgFkdv1GbpOs8Je3AtvLO74f8S9HNW2e2d63SrIiIrz3VoZzC4XVL4xJ6MyF1w2LciIeXlqFk
p9V7i76m1y0xM5b9Oev7gztE35ypu3PzsvSqWOwW0rpfELS2coMMAImtsr0kkj3u2zs8UpR22ZpC
/VSU+itCGC/WtmFrHQwDIlZRX5A5w+prXEQVY+Op3Tp6JXyD0dmmNqYFUGkqPm45MvXMmpxfg3ym
dElq/1/RHAiQg5RpKJ6vEhGr9Ne7O6lmT/UcIt4tImI4GvqLkXbg2kiaTswwsUZNq8K2WzwcXYfE
GLGEkVm3/6e2o4uS52/Z6P8byV6UMCbVy7/fW97KJJHZ+53jXz/ylxjU+dMVziJNoaxgQ2izWfuu
nXGcPxesHfs0oB9vf/+XFFQ4oPD4C1enhjcXCem/dor2nzjsGSqje0aNs0hL37S24bfir7KMq/Zv
w7UWau67Mg14lIEp2xQa8mIDio+5GLffSboCPQK1mguxM/qIBLt6SLywkBcGebEHexygplZz6RtL
/OtQhuO9HJLwkGtMaSu1ZY1xSfzMRO8wPWmYJTJbvsmhku4LolwusqUifndlf1JXLpuLf5WV/zze
pXx7d7ymApZcOpO2gww77CZjccwJtB7AB5hPqFBhKle9wKgR/IYhpL+pLX/10R+0q2hrspJePAtk
2IBpBdFzxurnbOZqLNZxpxQ+XjQ63Rrmb15El2Nfj7RF3cx3bRcNJuOz3TTnYP/pj68Kt0ImVEeX
iJoQPJZcPUsfL1M9CC+Ctps8aReYx+pc3TWEr5YE9NapvE9A1NLWJN0HpBQT06eEAIWZVXOorooo
o1vWZh38CTXEisyeN0lHuU5LkR0yVy0uMOXJi5q84k9RNzDHUcriJLWUhK6MZivO2LWaf5n6SCXh
Ptxi11UgFkUIQQZNvTeGYtzbPSiKVE/pAYyh3MR29yWu3YbSpRDdE8hwFbOHEm+QBlI+Q41d15FZ
bAsR35tWcEmqwXUVlzWKdX9IlScD1v+xTePsMMXuYzMLZWvCRq0nQ/WnyBKneA4vsox08hLRgO9M
xE2YndzqQ5muesd+aTM6wQyzcnhA8YGJAN6WfrrE0WFumipp1x0IMk+J9PZQ9iMwr46ufkBuZ4Ft
bjPWKl6i4g4P4SGYJ7Qvden3TOqEQkMhrg64H0zSA9Rqg4KYLIYwazZyFj0x6Y5BiYIViA5p4uN5
KtacGGFHsmzJVbDU5yGsw7UVDi16M40XK4Lb66EjMoinZiWV7hhMLgJjR6B/icY7XPv99ZjRfxkz
qPul1YFvHgg3ipQ7nAX4YmvsnbXLdxIVRXTpdtDDet6oJyaESIRhJDSOFeCbt9RtK6Ngb4DE9RxB
DHCFOsQDUEOaTEcAaz/q8x2jN7IucbIVfe/1Ubaf9ZrQ3UimsEG4m0dTVzbgJosVIQyMXZNuOg7U
yAhQWrlV++yzYed3bdJ6tSvMbUU32Y2cOzaDfmN1EHVTrqU5GIQWJf3O0tvBSyrd9nIbB35KeIiW
diWte/b9vQs1nm9zlRmgj82HPG8oxfTJweVDaqyedjERg4rjBWmMGrhitGg78bZiHqblqnpUQkIz
rYEQgDHFHFyULb6XokxuMRUr/mTbTMKM20WP4ifOiP1zirCodfHZckYKuYihVVuwtWhjFXKKIrbK
UG9NQVfHsMKbTqAEQliAJCjZV5lzIx1KnWoa79pRYiKXXttG577SSobBs4+sbD02D3NaXdoV1mlb
7W6iqHTuRZXIDYipda52LwkEfA/K80WdCH/K8rtGqddidDdVlH0hhnPdIkajkaL1zFKayEO6c3Yn
K9pqpGyTZXYtmZcA07wc7fAQB7lAAVUpgqjAyd6EgZUXq0Ivms/0TU2ue67ejg1eVxTUN7QegNJJ
qID5ErLWo56GAFET6SRG3X2JUixWKqe1H+eGXNLUpU+FXBcHcFWmG9QSUDNJfvBGrPq7upRwMRIB
bwekoF9niXntBIIheU8ubgzZa5fikj/orIuMV9R76AqCOJFqOBLY1N3VLmkEc4vmQg8VFZuLhoiG
fRVtuNxWTxoO071bdUuvIOuuBurinSyEvQqGmP8YkwJF7EjktXiVT6QgX5bTdKiFPq1NK7mbCKM6
JEHL+yExHiAMgxopiTojulFb1QLJPlC2+iwqynzVQZXQGmkClg8pfJwghaeTJvfhMmyJlVrdKowA
17aKAsAtGvMpo1dvBzPrHRa1bHbiHbV4jBXQmndgnmc6OMWrHeY7tZXtlmRN4SmM5naNKz/paMCI
Igqubakj4IoCZTMy01wlPQEogxJr+wzD4Jlp4M2vX6A/dobfXqDodYWpMVOwKSI+9Dc0xYg0JWm0
XeEW14XMrF0W0wuQkXn89QdpP4py//lJH0oL8Jk5cXehvuvDjgBjtjza3PQrBnCFR7bYZ0swHh9N
mpjusvKWNramXx+CThf+Y7Xg4LMxlvEAnnH7Q6vSKfIhzpuZCTVM+BJgglAwcDRwLFIbmVYNOFNW
WnLb0j/ZJbmC9mJZSaKesa4aB9URvxUi/KZADxrX1zgbXJrhNat8SP7T2bRnonU1VVLNp+FOBi2b
93Fs1kB+WQRz9VBXqrNjaPaK1gMKE2YCL6uza45DgVGzxCH8XXb+pDj62Xf7/nQ/+EViIyUrPTG1
Hcbq4KapR92bGOKReYYw7tcf9aP97vuX+x0bZDO4QHD8Yx2mDQgmWmjpO9nZr62dosgzjWeaQLlf
m+XTrz9MX26VD6WX8/7TPjQTFcmUeCzYTZmyvyIJSX8kPqWjZRh+1SSzzMpK2qsuSqOD04qZDdwI
vCWBW+NYYXvhxuTR8036DY9halXjJm46ekTBEro84lSRkq8wMQeVziINI5qq+RX+OjAMyTK0GDV+
G5qNVaMrp3EpSqqlPDGoU359nstpfDhNKn78wQQmOFzX5XZ+V9wmdGVUhffIzqpMhHxWoHqZLhJK
N0u5AkGD+byr0uQ3X+XPHtQfPvZDTS3agsWtQCOkGOaCeDG/2onGm7kOkpWsVeWQT+M5QP96hTG4
WNsDnIZfn/hPD4FFCYo4ER8OysQfzzxVtbEpM0l8qCQoo+GVKM3mAt43zITWZCxLBwIBKPWmbj2z
6lebXx/AT25n9/3nf3hyusFFz56Hxq5Nu2e9keO5zQP9kFUWN7YS/sZI82Nv/O3h4UxVk+9YE3Sa
P5xtNICraQuSP029iU8aKW0r2RAb8utz+slq8MOnfDinhnS3PjULY5e1jJgHTpBJuLFu0T795uv7
2Sctp0J4qclu9R+LQel2+Txb6m4O6E4OjvaYWu6e98xvzuint8n7D/qwDrD/IGo3rQ3eJoiY5dBe
xsI2ti6pj6CuOv02oXdCZsNSHldLoSzKtvzNiOAnW2aD4RdmQkcVLuPHD++1IBqHypaBvuvsuNzN
6P3uSqa6e8g8+q7Ux/uidBM/7FE3y36ifAujymMQBGc2U14UYADwLhRWTKqL/JiE2aNV60gxpXhA
7F78ZsO85H9/WFQgEMCPcmhKcMSQ3H5YVHDIEw051xwadGIsLiTWRyrdypkms6XMF6NrjeuyU4Es
gekKBxqCbEKVjQSb4Ztmnq77jOW07vM9ZWqwjpG2ZSV7moYBFV6+6rUsh3CvVhklHNpjDXfGErPE
9mxyUEcoDIXLuaC2KgMGUOk3uJnaahqIS1at3jg1TfO9xPkfk9dvTF7gFy0ezb8rBp+4+T++hzOd
XzLsYXcvmUwRQHztfmhWff+xv5pV6p9gnGmYCrjirMTvnMvWnzi2hIv/j4aYqy9trP92Lut/Gq6K
LV4lh4B3l8mL6y+nFx0ue/GuYr+FyYIc7j+KWVru1X+9IBejv04njT9MPo3l5sOjV1e601mjVa+R
Q15pFAWATarnzCCOvGZ6AvL2YDTjzK1MZue7K3X1/UN+cC5/KEJsw+Gpt6BDcE0WEYf1YfEZFU2N
Bxv6nZYq8y5o8dUqS2pOTeG+WmwvqxkxEjHkfbTtSlWChtLUL/nkEkhajlANo9YAJOrCmjn3Jtqq
cR7NY14vfApT6oeqdnPet42LEKBBY1lP0NoC6CrTjrEW3oDSvqYwNZOLcsGzACO70yOYUqCt+YX2
XJQ0pQbt0ihQa5JJ2VyEsGDQe7BDL0zYiymkhxZRZ6OfbWOmqaBWAOrKTJ+vIS2LE5Zh5c4G24XD
rHAvB52hmo27nWGImm+lokz3scSNXNlMCzSy2FZRanVbZODm0U16d2uyBO7nBaSLbUtR5GqhryQ7
w67EyYaz0vi1wrB/r1RmoR8rQmNIV4Djvg0lHA1MIBZZx4gtn7HqwHdJRClu8MKHpdcgPkOTqHDV
iMvcTT3z+3YZ3A9Mh7JrPG39N5Jj1U+50TQxu1clnzx1zvlRZGbD0xCGtLsVZ8huc7157CrFXPcB
FjVXtEcnN45unpe7MK6bXV87cgvQ7tliNkhYjjFaftqNCxel6XB8J3Enj1asj6RDZON47gAb8WUl
ybEHKrJNQY1sBZFMnRdXTnHKkRHtschlO72PhruQ3PitGwy4Zwk52DSNo6znjq+70RL1hWRNdY15
qAk810Y4kSjuZUZv7+QmBK4ntB8vdAiw7H/pd2E7XibNjbPTWgTpSw+aYN62006THCJGNWYGDS8e
ghLzEpLvtM7mDe0fZh82IBy8ZO6mN8izsNqueSSO0nlczPkXZVxyT4fm0dEqjH7LfQ62MfUqpvwX
+lS7dz00SOzjXetTVTRrXYX+S3+EepvgDLZP7DnubOxl7oqojOSWiAdX8/slnqLwJlfBQZAUjMwx
EcrhOXY6XduUFjICLrGaV37CtI2nRRtMuMHzTAq5PgjCrOgczGcnt/XPuRG0N2Q3Qbi0IWRup8VH
POiB/W0GCXlrD41737aNoHhbjMjxYkmWXWbc6biiNH8sxsoG3pG4eAfGHoJ40JuoRTRFqbaUb+CA
B1WG4WpMoKnt4QwNn8tpxGrWI+k8xbWGjgEIzrSdbYaArkmaIs+1FX9uxjq9GohE8quwS+8aKcwd
FMB9k0tz56TD69wqCHXrcdgkua6/htB5vkoQlLspNOVFlXTRfq6pr7WgZH4bVnqPcS4iLMqUJQ/1
qLX31iCYJgZ6sFcKa/YVM1W8HAAI2JsmM0FFVXHlS2xXF7MGWxXmT/0ItBvpazdo6FVm8yWY+3zT
DYV8FUTorBFM5zc5CZdIsl3tJQtn60rrZnJsIl7Z0+g090EcFdu0b9RTO4bZUxSb1QMJj/o95BJj
HzUM/8tyagPfTPpk8LouGbZl00B5TfKU4SXBIlr9JZUiD4+RXocoS+PUMe4FUnkS5flJxlLBNoin
6DUIdMveGQQ2zWuN5vG8gyozM5yUMekJFrFPU6QTH2XOmePHHSFpXqgSB7YiixfCHGJWEkUYpL5w
p43TKifgmwXJdqXqK5LVGCYoCuoIy1i8sUsYTT7Ba9m6syvbPbXllB1mfdKaTWUkwJQdwND7AHX3
s6kwSSMRuN9Xqh08NjqxdX6s9IPiw2eWyhorFY8NXKbgJSJ3nCYVRrQjrKbhoYvz1t6TpywDv6K3
dK2hgG88TafdEyBveMnjsTy3mL7EIcocd90r0yc0bznNwZALk/epcpvT/fqGI7DHT0dTF50aedZq
19FHwb/Y4omkQnvi5sd2iEELtQY5t66+pQMGXaEzK7hO1dBb2KnsinS8DvwDcQ1DqX0ay57IW5z8
2sKRyo2V1VXtJyXHjri2k9J4JJBNfaokaga1msUX2bXC040ZMno7I5FLw+ZyGC33a0O+4RnrnRvj
GWsJHNQw0M5eOi/IxRCVmMd/Q9HVVnPhhaWt3+EAhKA4GDz0q8Joqx09fg4ASi6T4CyaB/TvGiRK
Ir9iasykSUrMraAfVSbXk0y3IEsJ0gtCs8s8Qb7iuHEYmypIBQvkMmJ570AIKR549QShT5ih3XnF
2Jf3iWznY4JoecNXhv0zdtqNwcTkhKGJF15IHPBKrez20BN+myMP1JXWy4osv6pg/HqmweOAgtvG
9jaZV00wRREqYVu/jJE7n3GRYq0lIONEGu7AajpHx4y+5zZKOry0NibA3GMs56YIOvToRiEwyfKh
RpCeaPSDujzo+KOAx4l1qLrO13jKuG+7SbqwZxO3ea0n1bmcoX8UuOtGZUNfl0oIAHL0hNLZ8B21
aK+VBLxZa41X0aC5N3MyhA9aa8arQhDdF9QqYLUyol8LG9X0IgIkT00URpcNSQLkJ1qKcQ+yuf/S
TzLhmZGIooQaTiO7CEudAdHp6mrR6l04c0TmUb5O654Xclc1W0MtSioIEd31Yzyc+7nkhyOjSs6i
ULADyVQ/G6NmkVSNcfRmbFt1NRmteiQYCQtGBqELziUcN0QuC1GPmmwj1TAHz6x/MXrF9Aervkym
kNH2FJT46Eo+jx+0Nn2Q2Qfci8UWLqVAe1BGG5BYA9yyOHeuhghOCFZjTScIGxAPvXKrLI4FGvwn
3nKo7QtuKuogCqHXrI/mM7CYMd07UplvLBGjwOh0oI2roeeAwJVkODUE3W328V39jUYzubFIMNsv
3VuabPaWLNvXhMxif1IBvOc9KEAnXVJo3xJp097EPudiCh72C7qAX41dH8TfW16jMVXHZmrnzkO5
RaCjHZq8D8sl57FdEh+HSiUEPXRmMqQoVawV4nzGhGwIDbmOK1Ij5yU/0oCu+qDNlJRe1ctkAQKW
YPQE1de6XhIoK8Zb8KiBALVcUte9qppyPidq3e/qJcEyXrIs0TbHl3DonKcRMyHjoLfYy8TB+L4P
Rmmgqc8sjqRnAS+90E0FwxIT26H7FqHZv8Vpkoc23UKHWEI2m1EYXv4WvqmORX1CtBA164ld/Cla
cjrbt8jO8C2+k++FKE8iAIn1RPvMIoa7zWxOiO2I/szfYkBr5IY5aLq+n2EgKlNwGaqjk/sxsFHE
Zm9xovFbtGhCQWxuTDCFt/1b+GgX2KG6jnshkHJYVe9sSI2m6ChS99D1NlPPKFNHKmB6cwS+G2R0
4u5sqNaIQC3nQTzaSywqD3XcHzQDt1G2xKbObwmq/RKmOpVBnx8xCKA1JgSsouU/kuzk4xaqKVlL
wgznPAXjCXBz9ANltkHDqZRR64F5hfQEO4ceHpyFb5/vxK0PEZGij2naxw+kGiA7naMWtKLZsilP
EVZvMHso31QkjUxCNPoLKm+V/TQOLMXFEjarD0vurFwiaPm2ywtDm+PUmwm03JtLWG3QpOJIjBDW
BjNoTwQXkWprviXccurriYNAjW0Z47nskeP6dhQGDerkZur80q3MO+DVVfm7tKkPvSC2Y6ag+bKk
s7BTJUmO7ej7ZmkuurZLpdGuA01N90Ubfs5lfssQ7kl3s1sQwLxYbfr1FJnPDdbW61/vB39sq3z/
eIj79CpNQCCg93/8+CRoRJYMSruuA+YJylzmJy5++puO8NuO9v2OdzlLVyw7TpXPMT/G5U3N3Ith
Nrp1H7aL764rQ89WdMXZGRE+bS/py0ww+s6jrzmvJwGxpEqzldanwxNsZ3M/KXl3ssqsvUmk7V4s
l8yzUJbAi8aqLQQbBZlY5PB1vBfbK/IZi+B7c/V/+jG/68dQO/+yH/P4rWn/WH3Lw5f0h4bM95/7
3pBxcYZY9B4M1bahZL9ryDgmUDhXx77nam8tGW7B/9YP2X8y77JpkqAhEsse/e+GjNBA79Crpfds
MwiEOPef6Id+7JvD+6Gt6Aq4iEiI7H96AeyFOpM6lrOtoy7ZVGoMBwCOuk94kYOFcNr/+qH7h/eA
zzM0TdBL4oogXvowvYwF9AE6UaAWkybchiKJvxkIZa97DWInDI7Bz4KZ57HjfwEjnXrQ1hBXuoe5
Jvpl6IV+n/SB0/u/Oa4fB1Rv18EgFdRZeH90zmwaYO8Xo2VOTHZh5mwHkT63OcfBhMyBkmbu8CMf
XHdGApPiJQlkSsTydGHWnXr49UEsK877pWK5NkR4ClVl00aL7MMxJE5FIl3cOdtSjjjMkyY4ABIp
7n79KT/5xiHpEecBPZB2nLv8+7sZlc1FjqM5drDKo9lIhkeyouCPwRNia4Go59ef9pNzwqvJ2Rh0
ERkzfpiU1KLWVKLr3K2b4/8fnWUS35XiN5+yvCo+XDmMV28ZX6Tm0Wj48ZxEkGjVYAb2luyR/2Lv
PJbkVtIs/S69R5tDwxe9CR2pmZrcwJKZJDTgAvrp+4saYV2snnttZj21Kqtbl8GIQLj/4pzv8Daq
ZdrAxXkcm+Lzr9/Of/Ph4RiL0Hjwflia/vFCoUMq3j8e3xRA0aZxyt9TsWrAAu0DMJ+7/4cXiy7Z
LdTfGBr+eLF5CLoutgFMPCJZoGsAvidJGqnSio1pLqPTX7/cP2CKf36KHiEvKOfIy4K6+M+fYuEm
wQppH/+5Qw1oxk7eTHEqHms6BcLuQfuqVkeHvJ+809qVF3pCk/6Maky75MHrx7JC/e23zbhjSpO6
DPG02kZ+AgQwXNeH3lON2iV5K/WZbhoZb9Mk/caolf6A6AqSNPrV3QH5paEQZfTNQFj/m0v/H7ud
P98jW0o0eWQR/+vzOBFJMkENiI9Zm3vnMnSS8zKGYgtP8cW52H7IlMQum/2O/VztA3Qxz1MWJH/z
Uf93z6vk5MYuSOkHju+fP2lT0meFaS2PQCuD8xwUdy2xyhtyZKK/2Q3/6ysx1ef+8GBMI1D58zsl
1Y3JTimTYwx6CAdMAtCga35YhB37v3583Mj/11/HZajPjsFnQkwI9B9Hi25c34k9Gx8DOXr7anSK
k+HEf/BEND9GDg+Cp/vnrJob5JY9ors+EWBfmJdSRHfzdJJWMQuMqUcJnQmjp6EYw49w1MlpihgT
bn09LE9oFYObvh+76wpBHrhjQAyosIFQHGomqFs9uHormng4C7kAa8qD6CBNuxwdbfXOGO3t/ZD4
YP6PAr9EmHVhepx6D8B746a3A6Ox+zZ0ZyyCuY3ghczejvyE4j4VTfmBf745B6Oc9qKW6wmUC7CZ
UcdnSKLxewHu7Z6uvwBCQnSXkxKoB/AiumKxl966uPdl1fv7OlXYL0MU6rYhRZmtqHoOPKPevaFV
H0kmElTrusVIuWjyYLrJ7iHyA7uXbX0qRF8+OULp+0Q0zC1nRmA7dA6rAQTq63c1j+mtGfP0NZf4
f0ZMGZ/RZOdukwr/e+WUb21N9CKbFxJUyh5XNrbnu7jJd1oUJx9m+qkdXewLhqidR9dNQBH5eZRc
i8C39ytdIcYlHcGLMdWRtwPMfqQtY0BZ7BhrDTXTlmIWKOrr5UYOki8TKlszEN+UQskb6IuONVOs
X5RMfCaTD9YUlg9snMG9033KbiL0kdTqLrBAzdrxNQwIxt01obLRhoGHfKVsI3EzbGX/koBAB9Im
xi0oJ2drojC40WNEFKcWdDFFluD80ytX/waYAdSREsLTsKsAlp+8TJpDm/B9e3bk4yN1idFqVE07
yOOo9MToFvtAheF3kjyXa1TdwXc/17DgElHl92OmgYwkrGeZSgyCtp7DY+bkDC4WWsQg8nWyIdhu
JJ7tZhQCw09Y8h7iNOSJl+xAnmpoZOh78kntc0qcqwbaYO0G+G4yf2EPMhTQa0Tvp+Ux8RRCrxIV
541XNZqs0j7qdqioF35CjFDylCRjb6XAwY7uNT8jPxwlq/QUElBgMHwx2UKjVw2nMRXzbbSihtuU
QSaPHbZUzBJV0+ySNr0jFihD2dCRnTW3GHA2+WR8gHEJq/lt40V4iNgNrTfeZA7D6OqrXIYG1njb
PPntRARVseCki/NnT8h5XyCnPVj+bqcJl+VB6l6e4JQ2fL9zs8uimeejXtk+sYwaCJMBafU6+kl8
7S/6V+cC0ygGg40t1xovMxGfFKi+PjuuMZvIgeROyNclj3oNp6PDNG6HwIZPH/fibTK0EtLUkp/z
1iS8V9BdaEOaDwAcJZZMdzolvkm/Kn8N001VTtO3sWRTV/MVP6WYwE9l4WAlQ099dGZuYUpR8wn/
sf/mSYJz5OQ0R2PhDmsvcw+M0hy09LBERgrEecU0C/ih3M8x+WMGDD6unyu2BMk1SFrNIHKdsBnY
DFVsmb5kyxhca+Nm9061eNcYXeVHkUQ+uKEQT0hGEA9xoGagKjfpyRNhhx4Z18ccApeDXA+6ogL9
GCmK48YLgb+r8T1JIOAknai23HooModhOJl0bW970ryGLfGP6460mWCTgX7AQeTUmKtJ10DBTOHt
h+ud9TU04DJenzwd21u1VsVPnMzMphyPINzULRAOVzO5XN10LjHGvKsMlgaUXPkS6YCgQ7OQ377E
620my/cBSPuxs82MDxFgbBY9pHXzKERVn5u8AaE7+BUmpBII1zgeQTo7h86Ppl8sOMjVqFQFkCIZ
HPd9ltq/DWp7O6U542FiarbzJJatFyzuDVke5CJESV4fTB1Xu7DupkOH3ovlAqSz0gUtuhozPqZW
tQVOnJjQ4H71iGl0fs9Yg5opDp8pktbjAMOHBE1+ypErji7ar/00de5t0PYgNs2NX7Ys8dDhb1dO
cLhQ7YfbdWab884vaZlsobqNDvp5w0B2lxdY+gHVjagYJ/9OT0P62Iq02cdptlyjSL8NOgIRJHq/
zexH82GaBv0jlaAt44XlW7SsDyAxkkM5tSS2RPMUvbdxzsivzpZDjB3XZ6KbpQUWeWeirFpa9UJd
Nn/z2sI/sUBOjyR5MXrjsLkrGvwWrnbkU877/W6A7iHxnWvDpxE1oJ/sqksGxfUAEy/WXSpY9Jhq
xBLMJ7JhTRE/1HA5am6r1byNubE/PYe8iK1mrjUQCcXqCdIZAcy9XX8vXsFGjJA5xsXDR7PW3Zk/
bt30yQxhOTDB1g2lJnG0fuTs3wkOHxBBQh/Xkn0q4PXqO04RfeVleGNZb60M8Ca2jXWWg6MErONG
yIiqyVyziZrvwW6+jmhVdiCaXvx6UlufS/4hcjrAlWtaVsTmuHgc0mjiya0sI7M40E9eJJ7iAnZM
p9AfsRwRp95CopoXMsMbDdx6YJfGKT+07BqZ+RxHWDlHIFLRkSOFJRKT2M2kvBo4QuM9DBhvd63I
W6A9JA7qINynzlKiG+C0mK3sfnMhMeRtp/qEBGt8yVzU49tiDqdfpoYqBX+H1DM224zGVymoGUNA
aA4pqUndAXYt7O/O84A3YmV78l2JDUQsD8QQwnhZQ2aE0p/J23Kd8RXxcvY7XCuzz/lu7nWyiDN7
/RSOtTSPa1hnB9ukXwa99h2s0uxQF7K9ipISGyFr8+o0j4Ikg7JbCFbXJVI08U2vIHGsn3sHxlmw
B9OQbMAsyNqrMuRJSGZPHFx/6DezV66Hbi6q64ANSE3I6UAS9FxhKxiYRn56s1dfo4Ov+kPb84nI
qKyPaSvdc5B3kDzz6LoKhvfFzB0R4/PdXHf2KwSYwLbHV7sLWwjdg3c3oJrfy9TaD5+8qGMj9Hhu
wuVYdc5rSx5ItRlWle01aadXHYxD3PZzRmpg1LwgBOnvJDrmo+ASPM0KqxQ7m5dA5cmmzRNvp+Vo
vnQ7rdzcl3hvr+iKbTdk0055nM1VF2V35LVk38g1abdWqOiSeuhUGFzrbscgY3yYc/OmLguvzhlu
co8s8GaZ9l3Oub325MSwANiZbk4KtifrcZTEdteYne2q4ltvxS/lFUXxjcIevkJWprtlJU1z0/oJ
INK5fbUl0VYqbvcjMXZtVJxYGvfneljYWLGcPPldnMEBHbmFAf+ceiDgx9q5MNHjg+3C+ADTHWyi
Uk5yJbsZObwPS8+v2QFha9VD5TKiDHfE7akjpXy1TzJWslFepkdk1xh7eP2NacLPXofpe9yAllI4
pMW0RPuVqIBe6Zelt8nGjstV7wyvSemNDzkmID7a77J3uKNz5zMpulfPr27ZpTxlIzdU0bj39Rz/
yqpfZkpGIGms81nyP7MqIZJTqysVxjdF6N46HnsWrJP2pjbOjeEJIuNHEukz+clnN8flIQNGwC0F
9FyNRz/SzdvqfzGKqw+Jp92tO5HrVOOVYOW6OHyBtngeOuKzetu+gA16jYBoRVp/VCr9MXfhTU5W
ChiX/hoEoNkOtQHH1eQvuSdPYdM8Yyr43nr6rHAnbOHP3/kR4QnCG7tNpMZpP4wLuKYSboTnYJQJ
QuYXufbObTvpwxTVjyW/qnNd5j8ZO2BZXXZOokOM4y5GshHOZZmnJ7JWxvtWZuH9omL7qyeBk6FZ
eK5Sp7mSRXjZqQEDbab0Z+XHNOa0+8+9Dtjc0uTzk3XC6DNfXXVobLAF/hkejBREplfoDL10yi+l
VKT3gc/aMa+Bgdi5LXeJK80G8c2tFyC1ti00jFqBb7rA7fBb0CLYCR/MEDrUMLzh0isrjoILwSII
SNLp+L7pW0nAcuIn1N73gT8V28gzP0bULranzscv3bFN9uD9pZz5KqOg9+Vjvvq3fpm+9Ut7B186
wMfF9w7VT2zKuDbnPF8Vl377InoUUWb0cceU6r10IZ65KD+JffgZO8FbVINMXA139qIsX5qpXhX5
rQ/sYprXmWEoyviwxhCSuadg9bq9Qo9AxJctPwpwBsc8yBuOlK68ilthNkusnZ1uJmrb2Pxo3WE8
guTnnSI+QzMx3ocuvLy88bv9ii/qd4wW4r7oZqq7CHP1IkR3cCQmsgUpT0vPcijpf64gcVAcYZ0P
PfNgehqMEDD/e66c8Njm6XBkxPKkh6w7pIp0gTG7SygP7612hv3M2bEPZEr8tPQQlEFgK47IOfTd
6rHgNyhFDyKiOU4uSpOqJN0TMerBQzu+z5BAbOMpmp89p6V1aRW1pJnIGe/i7nPmTV3FJq53EH3S
jecO6uTlzgAYYxJ3SuNDzLqqRYd9Iq6yRBrVebcC1OQ+s0N5W2GffbVuF70mc/grnV3WH147HvPa
F2+Es/an1i2dJ6VGuBQ82w/QUKPbpSB4C+mKc0TFOh5x3OVQTqW9Cwfb4MdHDxLnBAkLjeEO9B4h
jNR9Nn6BqLl1hqz3D8IteAwtM75t7Vvgi0OuhjMRkmIDVfX7oikVMyZen0A8W6iT7rLNDaVQT4t8
lGXoM6suqZVKMaD1b0P0I1F0pUy/fIcst6NhivY1P9+DsO5wvojh9lMZTrirMoAhIiQdNKgw6MZY
M1sbfcsZRG3Hhm8c44k8eWPoHmZmKRXwsQG5mMXROxsYK6yJWznNB8kPnV6qMdf4GkaSZHEj4fdr
biUGRcrYGhRz5U67cSX8SYFrOQ6zFx2bukffAoRwP5BudVxDD2RvNSVXaYKNzw6d3vkF1TwN2NNk
Pf9H1ZbuNpp7aMk+C6kKTGS81rd6zllZFusX7bh5lKyscNQYZyCDa4CRWZnxmnTCF88L33hZe9Ua
5OTg9vdIE7qNJc1xa5BsvXizBZQjQMrcecJhNtQa6++bQTALahyXqWMRbbMEiDqRgBjp8y7NDjR9
wduQGXfHI6jexpJrmni7fpO0w7jReUdvtZRR+41ZRfuinElicMzVR1nl/mPBwv/B0xrIznIRF0Vr
YXDXy59s3eQj87iL4tlnex6oS3DeWm57cGAMmAaANrY1/8iE3Udyrs7j3DIS1Wm0107XHB3y6rbK
Ju3Gj93iaskXFK2h6eINucGAnNr1B2IcccoQhL7nHd7iuiwNE47oZ4w3huJAkg/qE71qG19djMQd
28GluIlGOq1E+iVpL+KbJJMT71ub6RPhrPlNNrblfu264tob2V9CHmaiel3PA/KlYPDHb0spgq+x
nLR35azVchyn2E+2frTG77hSiaUNpngO92bIi98dD1m89dVSqps865fntZExqUKCeN49QMM+2AWV
qd+nKBwghU10emu/PuMSC45qrLkdlyoAtBw+ldHAmSlN9dmkOj+UiXsh5c0Z/uQIFIZV4UtaoZ7v
x7ukcc1VDcwNUQx3B7/Ver1tDZis8mKA2wSAm4dN3moEpOQyv/JC5gVWZvdOvIF/73bNHbDm6lC2
Kr4Jc+keanfKOeaSvv2u4DJc9WHjEQARd8sOUn56csN0fJn0sj5V6aifC8DTMAGlwLiHBES08BcW
p2TKbmtVn1wlZ8NLF8NOI4VCnLEAnInJEoTl29UJgYiyAQsSXwC1caeDTZA7JVzaISU1NmOWDhMj
3VUVl8EmHgYEhJEGygPfSn1E1cV7y3dSPcecP3dDkwy/TBsSs5jSTB4HPurkhvs7rw6FZx7T0HJ6
VY9RIpujHPN5GzK/3CgyGG4nSMZB5oY7JjkQQ9MxgttIUMHFqV6k09aOKQcve4SDE05mYyqlj/GY
7VSBYnSIgq10HLtz5ipUm1Hq6jbMSpIStX2NNUxDgJgYim2jog/MwN5Jjom3NQbfyyRRd8VrPzzS
Uqb8/pvy2IAq389a8bdCzjQt3H5eOMx7B53skdHH12q94Ix6E0jLOuHtJMYdYvORSS2GwiQFlH7x
dxJcgs11ALNZF3EAC5yc8iWvNLGZxWMEtXeP+/kqDQSuYJ4WTPhMhfdMdYifsaX3EwYbir2mbBro
SWKJj1A+yU5CkN1fB7EZjnF8iaPNjEi+iCuUx2Hx1BvjD/WtTWz/SJhSDyQlKe/55OmLGd0d3NHE
99Ry0zbSWXJo+PXtxOj96vPMnOTqzvchuHxS2WWd/mQGS4XPvFxdt37Wo9PizIP2S/xvfBjwLCIM
ybQqt8BTeqhCAVaqvXDTFRDnRET7sQnJlUQ1rUgP6qqB3CditvEzQwFjiNuRKX8G76rIK28EK9Wk
hxDcxc1tj6P8pYrGFA1mom9sFgEEEpeNS1o4PxbwJnNdQP/Hi87JP9nHENjwsVGuuGcsEvNHW8n4
wjLRC+OYnGdJLSu3etZefa8qjukcBR+bnnnbGjRdKhjv07reoWWGI+6XezqgdIvk+fewmpe2nyWs
wglAlM2WMt5krW12sbviwp3fQHajI+or7wBlf+dc1P+JuiABl6K4yjpmQix0zlldOK92coqdRMd4
GbuDHs0BhoIv3zWE5MK7p+vSGWFWiZA0s2NAVhVaI/9MBQu1DpRctB5Ez62IKzRRltHOJMH6J8Ro
Ie7H9Z44+YBxWAjnjriFpTsIsDtQAmOZP0GMDK8p+rozErJuj0dfPUXj0nTQriPXIsW3bKkZeEQQ
Ywevf7B+G8CHj/3oWWRKn0yV0UQSFKlIAEwDc+X4HqDXBaDooUostviMsaaY4uid97UeesJYLosK
xI/+Ovb+pWOpH1KR4RVwV+1/LZ6m6HWUA9pXti7G7ESrl4TY0hwr8mWEXBHt+TuIKo9SCPrYsWSH
wPXGvOQtnKv4vV/y+IaN1CVT3o0fWXzG58hDGCzCLFO7KHTykqo6QHrX11Z+xxTUUcg4TXsW3HA4
HAOB5WgF60iV3/DbKi+5azvHDdxfxD37LwM/4ddUQF2q4hYEWy9tc99q4bFi0KUgaJQwuS/thAL5
2TLDSwiLp6IBoI5X17HcO130Y8Fcch+qsv5ZY9plYppl98PcBe+D4490x0PWfJQh4dEK5eQIk1Iy
hqgdGqbt3JhxK1UXPskuTNS2awL3w6rMO02mH4l0SfLooRIY6kFt2+wBqTKz3ZxMnjwtXoWV/e+u
9bpXlkjpGxz5jii2muhSyydf8nFW54hK8rS0xfqWLl3+3mYeP80FO/F3zzjRB1Pg4EdtFwu+CK1t
6hcE7lpK+NUfY+D3gXulnCDgSunKPWrC+be3Eu3rMLfZEtwWoLNPiJBZdOu/OmGTn/1ZLLdmmuT3
0oXVJGKLKmxJiquIMXPEHqPHMtCZ9GNlyMIPoKv194QYhauVWpuieq2JQqEA3PS2sfkhG8NnLq/2
19gO3UPU4pRn2eD4F/U/QfAFRZBbOT8Kxj2Yz5BRMLsR6W50s/o4Iuq9Q8cBQoljX+/9TjUPrMvQ
Jc8Z866wQCZKXG+jnhY7GfBjS00QApLqeht4REN7/VSfg2lJznMK+K0IOvWF9pvFYOf2voanFBM4
TrQSanw5CVLLq6a75cBIwNoUfHOeWkx3pE2eSXX1NF1010B83hM/XlFn43f6dEszfWNgPT0Ikeqn
cIyhe+qBXHrRVlfrALqUNMgEbotSN1kQk1PjuaP/Oxz67lflVRdO+9gN31ukJ++lMTbGYhebCNGf
Rqm4TEFA/knrRyceVbnLWZA+21C7JbGs4QrdOyUXDcto8JrFTfPVZubVlUxFW0tFQsruWm7iOiOP
yQ91hT96Wj4aK3PcH8xOB+opVH8xo/f1ZHvGeiEEruZAG8CHPKiRAsOJ1CquylwHDRZoV7BvmNPi
bpn7sNuFbF05I7I2OfhZ3l/nJfcXsllSfKZV8+iQAN/UWy/hsvFsxSJaJY64HXUws7ZqB+9ODDED
uxi42DaM4uxjMCrFIWnse0BSUrlDjZ6fx8Z0jzlfVHIIEhu8gH83y140Ov6iNArGjSya5bPM2onh
Sg3P/qTi5mJ/8izhQDzNpT0iBbxMBo2dydiWbfRj6CTackXJf52l/vQS9ZebTUbTMVsdpvZO68qr
LF5+GkMuH5vjad7QWvM7oUbiHbBMcIHSd5orlzn2zB4n/g4Xtv4y2ZQysuzRTEcLUhHXvcFjhSLP
JIGJjj6wX6SQTLC9TREaFh4+/+DZRQg8IEENAHyozCefeXDjrt8HecHozLoQDG1Qn+OgIMO9znrM
KrGAbdfUqf40S7xw6wYu1z+rm+W6qpx6K6Y+el8RuW9YYtC8NQbO2MnUlf9V1oipFxO0NLjr4h4X
QLpHGJDRti775RDhDmaZl7TnCUKDBoQ2y4cIrxqss2DgNrGp/VxLBeddeY55K+O82U0j1USXq9/+
CM07hH1/VaK2ephW36lRgtOtgWU3t8syODt2tfT4CzYejO0bh23fkd4GLyhds/qtkxGgn6zL4iFP
wvuave/Ry3T2nDcNGVCedeZTiX52PLC3zw+tDT5CcgoeHdimnw4cEmCAl6Aqt/sCCVC+kFNf40Ge
OpCOUaDfJbf5jZN17l2N4fYxw8jxN0KMi9Din+UgUlxMiVzc4L2CPzWoeSVilOU6ufT0LE/pmB9i
ojPv614RE8NuVtyPrlO+iHHkKv1rwUTw38klkKCwBcVChvDmD30PqKQI0fCcHBcgB/cyUgbvmmWL
IFjb+xOuGMCLXK2dKMevaeVKMcPQHNRYuZB27WelbLhNkoZhJ27Fbd2yYGrnyD9MlPHsmz33oc0w
VW28BhUuA9QQrEkUdFdTUK63vS3urDeyqgiZDfootertMFU4zIhxIIWlxpXUDZV3bOYKYijqoF2U
cpYNZgioUMLneaA5CKfFfSCv4rNsu2DrxGN/ItIDkRf0KICSOUo/otf9v/novAvR4I/vTTKzhf6K
Z5Zl8B9Kk4ZHiY8voFpHQ0nfIB6CYAalO5Ba1bpIlqYFbYYv2bu7C9gjVP3LQdb4OHmYNAKmXYo7
JN42+Yj3Bo7ovpT+eBYdoJ5udq5nMdDv1hUFsF+ChSnxiPz1t38Rkv7LWyBVUaKDdtEzJBfl3H/R
4RXcJWqURh6FUbD9IPmswFvXOb9enf7RncdoN3I5AwCx+ZUrxPCLjddwNuKi1mPgFsJa5ScGBChp
0W389d/uX2V7EnEmqDvPgz0e/ikSzJjhRS6BAcfKZVDFKjKTICZb8zcv84cV/yK75D8YfS4/AY52
94/vUbEwDmyq5JH151Jxfcc4Qicz7Oa5jn56NPCckZXatm7a7tJhjB4JSbHzjsF4dY1mR97XS1Ih
m+HHAky4uQeILAjgS1fIT4V4Vn1lX//6o3H//Gw4r4UL4R3pZABi+h/Mmv/yxelarwwkePZG63Eo
rF4bgohiOFimldow9w9eZXXfiaL7XsOx3LL/Edt8hG0CLxxgrSmWr7CU8/9gUvx/kfbfiLQDAnF5
bP7Ppvnbj/zDfFgigz/+q0j7f/57/9s1j3SNpg5z6MUmnqAPRnvR/8e/xd6/s8Tl9+Wi90T7KXit
/yXS9v5dePwPoPpZPvMw8y9ZKGP5f/ybG/47HJ9QSphQHFCsUv5vRNr4BC7a33868FArBmTI+H4S
CfQ/f/xQvGFJ5t5z5v3SK2a2EfkWu3m0LNfWPPidVT0Wjr7hptvNHCTQYrNRc/Zlwr2WDuasfRKX
KKBaG3bvzRJIeTcOWC65gK336Wu0Dbti9c/xHAjoxqQqu5sa104OTris1bfQFMUbdJkiexILGMFv
uOJquyvKosfxHbRIDUwbAeajMTJmV+ZKIh+nJ6xg29u0IIrJIwhNeg3l+eKnHKdd2GYPbZ+5v92y
C/bljGhzi39WnnWlnUeP1o9dbrWOzc7NgdCxr3F1dT8Ry3EjGNaOGOGRiLsAla8wnoUJ3KJuTO/S
ZgHq3CaFqB4TALc4R6icJkewBNexV2ANTqNlMxc5Hr51NkFJ4I0P5o1xT47/sJrJA+hGS4CRzsr8
OUgc/GjIcXKAhp4h3Wway6K8B8/CdqSYPWQu1r9xhL9kh9UmY31ykmyqrsysWExGmaV4j2CBqs1i
ZQ01AJnHN6/HcrhlMQr0HQ/VDkYw/Tk9KbIF2924Jsm/kc+jvlvX+QxNT4eAtOwiXJNNyPh5AtjY
DRHEPqIu3/jTIrq4zDykLBKQVYASZwrU1ivyC5EFj9WCZ+y2zdIJZh2aU7mZHeujdF1W8gInPLkI
+OCMrrdBHxuHitpVEZUpobknA8b9zSQri4iB3dt4m5p5kVtYAdbbJZMXPrTz7E7bIklte5OIvquY
HtY0hN2o3FPYS3pXi/tQnkVAXN01+k/0BEibhpEMtemC3Er6SyZZx3ItWz3+e8/oYmHmlRfpgY39
WDNr6OyyJwjSc/d5rCJyPDM1P9s8d+pTOfvBT5Dp+qXJO6goDFG+Opu68xVPHS4/dMqL2Y+mJ6wB
DztSMyOQp9TAywFnxxfxm5MwCXCSNLoqS0FIpXQRAOTukGBknzPLkpXV2bJdgE1e+VOvYPgpU5Fg
WeTfTBE/xBDRaHmGGa1Lqp1zNrjArKYpFsyzG/WWsEh5dIbc/lihAF7LsDqNndczXuWlvafUkMKO
BLLovWe2VnGEGBiP/XYQankqWn/9Qh613iJVNtMWPU7u3pshg0BNfKI37UGrq/G0iowFUClNf5qD
rtI7Csfme++s+l6WMbEORqoFEAXLcDJY0SU/6yVXVHMUiHCjnMTv90ypw5ugb/MQViZC6U0JPsm9
HnzOBCZ3TXBr0NqSkpx3C+1C2RQ/gDx78x76NE+7m0EqcxVRyLuOrDbgmCJ9ddY6xWk/Vttm7tqv
WjlI/kxegDkM5jeG2M2WbWqCKUSb5vtSZ/xuFDLfe6S5ZhsEDaHPoh6fGWGW+aYm3HNT1HJmVhD4
D0aGTOcD1iOnYewubb+Lf6pkHtuctNDBi9tUFvPllP0IKy+X+7XvSSGq5iImpA77dnqUC5Htg5fl
P2flXMLMUHqMm1W4jAO57p+LSPiwFGnqiJ5vidTLo8mnqY+j+kuFubnySTjwtxS66+vgZu0noVoj
bIban7Mj4kgmFU0V4/uqp3FP0td0l+vOYS3o+QRJoRyantRUpIjGwuUSyIK51LKyarR7FXmpuhoj
VQ/HeYFqggxE0HCzsAC1gYipFNtQaMsSbInv8aR2OBmZ7rpZGrcvSWkdsZtmfigbWUmCLJ0uDC8N
aZR8Ns7ib5jt+MfQYAJp87e1cMRPPHnuHuRoSf1UGXATud7lNomQQtHU7ToWp2IbZIU+RYEN+Y1i
iODYh9t0pZdFts+ImX2UXIFa92NA/F1DtuJztqDS3ETeBa2JtrqY9nVQlt+osuNgMwgPqSk05cC5
pqwvP5hZd+MpK8RQ3QY+5vMk48hhEuQ3e4Wii8EZXcgDsQrZs5twzO3GbHZ7zotCstsPL6IGGQKx
xYMrpxeJYXTlvHILdkt88sV+VUH0jWQAhx59aYnkLdBdM+tcRv4iaCfVY6E9VjicDfApc1WQTpo7
VBDnIvEC7N6sJYGABsT+uXExs8Uq2OulMFnOQ+tm53nugIqO1Af2hBjcpAfEMPLU0il/0aPrt3Yw
3Tdn7ItmM+ti/awCp4ZTiIcm5H4Ykm7HSxBSNw7lSmp0cIFOhvVFSU1UMtGj0eoFG8SdfAj4KGnH
2Lg82GpdKBCM738keuWiS2CiPC9dYm87oaaA1chckSxTcbRC3PKxegGXv5uBgTz6ST6+Tksnr7Bj
SxbkDkbpshFEmkFCseNtBePxeVxFYnYT+IMSM7/R6jRHA8GlEwNTEC7uHTIR+FTwkTtiObGqA9fF
Bt3tEiaCG7dga3wfLOW8nBCZKvkAX4pZrTPF+a3jG/k9CpfwGz3BtfZLGKZE7D0OjSyuia2FVZ22
iE19DjlyDUYHbS7b+mSYf5aqHreF4sz0hK38H6FpknqbMUN964vB/20VwM88mIlDd1YyZHDDV2cx
TywVLhcAGqLyaQlK2uhpKOELmKbcIvovHh3dxv/J3nktR46kSfeJMAYgEBC3qQWZZCZFkbyBkUUS
WgRUAHj6PVmztlNbs3+3zf1/N6KrKwUyxOfuxw+W8kx7OwjMD0XkMvnIU8jNVgRIAZJDjPODhPTC
UbENI0xyV4IoSlHsTGkMHZDuxcmNInuLKThCyM2QjKp43o2FyaSnhvK/iGstrGXOi96mUaXpfrPs
bouUpI9GTPZkabq6W5cAVb21lSYenFoDEzKtZ5/k3OPXuJ0embUzzLXTyElIsjQV7K/awVVOwJ+j
B/hKak8Eq+QkZpvG+LJzP5QR1/hZiQIYhyFN95Yzya3dhP4ZogwtnYD9H6+8oTdpwQ4/0dcxfHNf
LDVng8wu7tyOBPcqTrXhbqQ9cxWd/LpAuMIcu6ucbPyIsNd/0r6aDM9VSPBm61YMehRxseasQ9vz
1jazXfp4kK26G1oQ+RijKOgn4Alh/SmiHA4Zl8d42BOjcKgf5DhHSTN6b3AoSzE8wOachxXB5+Lh
yv8T+2p0i/kiGnUZ2jqrDrJRw7QQTDTOkydKcynm+NYC+rtL5ER/Tzw2Hc5ytqwu74p66TnxWC1t
bLREHny3u0/mJt4XwIAOJba2XRhoccdAPsbJ02kEoJEJfViBlMIpFbGXcwb5bBwQchJXLkASBg0Y
2oH6Yjp9Nih7xoMN86GD8Zy75TsuwACCEkejxylJnc9+UOQuIqcp7/qgVc89t2CcLpO2DoK5+U1r
V1Tp5iqyfpBvsqjKaIxT28loG+RD5KyqAgjwVhauk69NWMCLEZlPLQX8j59skPmKLcvHA+Mb4kcX
tu92o0JKTIacCTsz/Pq7zhRF8omk+8ti/mwQE+85cFDSWj4DxIkeNYiFmrMbrQIm58UHnB+jxJwZ
KPtl1o5aBmrO9c/OKcqFY1w7EEIs6pzJ361xdpeMAR/SzLb2hi1Y+TssK8FBCTiRO3O2BppErDyb
Noj7sJ2TahDXAk/Do48LKwOBDRIgNJkL6HSseR61NFhl/WjDFL7etJ4S47FnpPvYqpZLeWJH9gM+
HytZ2Q5beTxl9aWZ2ujCsz/vZkAG1iLz2eZX5dz394lPtBoePrAeEFsb2+BUkOTOF/Ytu13WGHY5
N5IW2SNwTvEPRLwYXYnCBeyHyJycGIRp3dZCocLTTmIUeMzGvk/Wyo3HA/6CCtIS5oehHd6yXidq
07dzRpFs7qGLiFhKip+D7gKadSYaaydEeaSPC3Ck10RQGF3tEiMwXOR9B46x6cYiW4LRMF4BBvTG
ITVqeCe9KLwnLQbXXIE1tgS82qH6aea+N9LuOsSnyLlezkgWZui+QTA+JNMY5psqwZ4/azm/iiTW
bzavwl2lOqah3efzRmwRdbt1RDO+kXaA9JFYmXOXxMJ85IDLCpvOA4f1vokPoahGaF6KCfXk5XSq
MDfcDUHl3HJp8MODSmv7gxYbYOXIINRY9fGMp3AOQCLM2Ti+UQ8CDsQuCbLyLYZMzxWgDSI5OGq8
DIfamh+zpRaa3MgHP1/3ps0Y2S5iy2R3H2h83oVxnEOCJwGgIcAISiNlcWebHIbWISYu64C+ErpA
nFpTUHRipNyquN64Sy658xZB0n6THRvYElcD91cnMkkUTH2Oez0kwzA9gQ2wnJ3RiSDdJC3x/UE1
cj/EvfWKDRceWCybXVazzFOhQ2ufpPhg22SUQDWYVVaF9ClOsguu6cuJUSoqDEapN8cAgR2RRty6
sJ+em+Tawh0BPMo2YZq75xnuaHtQFSb7VYujLwSbU7prv4DXs+h1RHUdOHDONTIuxzu/9gOoUl0S
fCYQZB9EGz3FQdCQsEqReSq6MHl0Z28jvATNj9DMYWotinQcVe7rManvvUGZq7pxQfaxN+f5msbl
9gKGBDdF03vTKimT9mfaxW63Ceyga2i7L/Prlb37JM453I0NvEnem+llaO1RxCY9ThQEdcB6c76H
bydz5guEFvBweeLeOHQNnXF0wQ+KQ4oFh/kYeYGkHUtW9bRUxbDLHPdn23PgAXuAscUu9RGS2kNi
K3PbpqDzICSJH/Mcf/K4jXzGiVz0bvIJ3qHYtyHImDzBcFqknJCh15ycwqgPhWx5QUNV3/tsw5uk
a6I3zhRI+yx+7oOTvZu2lOuE54iDfilWySTLteVUcp+VZv0Q1p25bfyhWbJwUtXeiq2VlN5nnxsW
+L/G2Ys6282ljw7v9mjlNWVjm7RoxAO18YTLiKh9BEg9R+xe+pfCRk0MRp5N0E3muMuv1vI1i6T+
OfcugaKSzDMeH+lT1AeObwFkHurHoA31LjPXB8ADhPgGpmqzq0bO9Bltb9s0rfWOhhiu+0Od0TQm
phOJOZzk6LHTjR4HToW+7uavKSX0wMDoWsbrFP7jJF0XqQafinuF0MYjNbS6zkzauJz0KzfGZtt0
6tdm8qKCtqcylmL129ZlEe3ctEqXNbCYcFtQoLjrrGkLdiDblh24OUvUDD8yt+6eOO4qBhTAepbj
rzsHFvyVamX27Ys4oJWhmi9YieZX8i7upawm1G0zTlsQ+87ULuDyWxRjslwyudnKKt9rG5t6nFvu
XZ856LHZ6KPtyqrksGMUzkb0VYhzq5M3A7z7Ze8hO+nGPHrWhFPFlJ68gM9H1AD5ds5Nh8GRGRf+
MiuzF4VL9YVQKIGxvmlOWmhr7ZSTvanldXxGlr5G2qewAbYU9T9UK3q4WWoTcJCYegq5PDy6kV46
ynOOk7QtDlLBvLIlBdal3UnuyNBgmjai5ZjNeOMGqDyeGxU3LFTEFubO/wHyvMa73Sj6gAWcHtuK
HgGXBcM2MYfx0XWJ1ui26ng+gl7e+ZADXVID7nRLeYdes+LSFiRKfMddRKRwjmr7SDsmPSJM0/Y0
7bavRuqbj9JVHXEVNbdP8xBw2osy8UONqbn1cK3yrRKTqV2+f4yJ3dpr85R++FFzDNExLlSow5xz
5sz7GMv83TV4I2NlMS/o5uJrmLxwy/pQXRSJOI5DoXHKhfLXTqh/dCkba29RIBrlcV1t5UgZdpqP
l7jKvVMtQ3xdHdcB+ktirjeLUMvkaFK7svfMxv8iOnlv4HBdtqOBrdkLp3uXKfx6NNCyrZa6l+vg
JB0NilfGtNu7I60Ni6ma3WfXLuSrzIyl2cbsJLRjHT3V1Vu8kTneRw62p3CU0wf+LqAU2Wh+I1xQ
HzMH8r5HwUtdOXf0NU+ZpsUP5Dz/rnhH7IkUqGXTXCDaccfRe/qO/bS4z1pp79QwqHVjFt10NunT
dHoi6YPfUcJ9lYE4Sc0yovvL9AygA2ky41jh0nI2RQFPT5YWm94/pbb/Lyv8jazgBSZTfcbw/29h
YdunCAvd76LC//ypf8oKnvMPRvUCSy5EM7Jp/2oZdv1/wHQ2BSIsEsI1MP8vWcH5hwdV/L9JvJZ0
eRH/LSvY5j9omhIcSR0EY3By/5Gs8KeQZQYucEfTAlhhIb/92SQR2MngtkRq1p2EvE+4jLK12HbH
/xBjAdmOclzPdgPPxfAt/pC5W5eGX309pLhONrwNjDuvSdmIuHWXDVsab4ftb9/C/T9Vkd9Jv9af
qv71b4TBz2zRNAPElz/EkqCYM7/P8GV71hhg3S5M7PC9EaNAAB8tV4VbJA8+9O9dF/qXXpuBwfJY
zG8lI7atqeghajlcc/UHY0CYKD0EU65vwWrON9aY/S2Q/E8p+Pp6+cqpjaYS2zO96xf1m6KYeiR+
9Vh66yysik89oIS2bEAEFAEYAqgMfQZZHnlPji2fTWXOn/3o6+cpSuut7Cv0H3CdT2U1docIx+j3
X3+c9r8/J7w8AY7IQm+Hg3bVpn57eV6gGDkytF73Vu3cJrOVjWyylVh5rY6PjHNQ+ksL/F7eCayr
hskGD9IYW6vn7+LR8X7YU1TcTUjbllXvqUM6j7iUMTgP0PXwQg/ZK/NMfzvgiLzPUQE++sjKtoBz
68tfv5c/OsBQWfiofY+fEA5GBwTO9dH57b34LJlm1wsJMD0HdygbTjHjaEersfbjg26SniG1MOXa
qFr9Sca2oginKANarotOMu4KjHM/jt2ri2jEJdkCDpkZ8mW0sk3byluvSewVw5qBYa8R3ZVoHPuu
AitJ4vy1lrgyk1C+cJ4VJ7Jvy7Kc7nzKZHf15BZ7nPVQJ4tS3ThcAbkAxb9qsRIr3MRUaxNrYmiC
EuhQzaQFg3gz/vTdBsqz1XNrZY/G1pEyiMMibJtH/MCaYbZtBPTQ0qD48tef5Z8sbz5KiDssbixF
PmXl16f6t4+yyXVa17aSDHSFfRRGMX9y5OQE3wjzQrCD5xVyRVBhuzbLe+LezeqvX8CvleN3UZRX
4JlCOuQphCXcP2sLOJ23maTKdU3hdoHinpWbKtXmjW/DOxHWt5Hq8Q7cJhzMYiQOtet50d+uypsP
p1bdrYo0oo+tbG/PwDJfsatqd1GWngW5Q9T0sVXtbhjaaCRMX0yfAVHKh74Oq2OQj8aLJbLopp7d
iDqlGn8ZHMvxxqeVatP1rvk3T+6/2Q5+vVncBleriJD8Fv/3x137Zj14119hm6nhFBXXCB3frbOv
kavvqdWjeQryFn63fD43yo+OopYYAR3fr3e4OPwnybz+ixib+R9Cka4PwvWHZfMNuKZ/Rdj//iCQ
PC+GXGqC8b4tl6KpvuNh2ju0y6y8cfgPIVm//rLAvmr116aVP3l6FRuU9qdOrjkQeS9mNYE1YUp+
99eP1v+xIvtQkP7nb/ljmchJPLutaOQ6E0nyhS2o4iZVEtxAGZs2f/13/R/LK6ZqJ/B81n+H//i/
Pz6G5ZKgHHfLvPOGZ0uTHxnD2fubXdi+/mt+/7HAWOTgICWJGds2fQ+zwu/fks2S60956q4H2Vzq
1o6WhTltCY9RWfdYBckdl9qlGPXnCFCEKh7jbrbyEHxtBaNZkDkN+p4EbOxUZ7et9daLOuJN46W1
a86iU2yu6yTKF2ZP3sxhgMPYdW5WhVZfKaPyv/7I/vx6pO9j1mOvdKzgeq662sN+W3pmbhKqdxtv
rdh2cMlRV412E63wyRp/s8j828cWmOzNxK5cDjB4QP54uP/VwurlLjGzKTN2njkPx6jh0iTasKe9
3gr+5i/lKHg9o/z+dTE85STAcYmFDdnnz69Lc/+zC0uHa0CQj9D4mB1G4LWCcNQvQlUw1WncuYBw
2WNkfcUrCwob4957Gl1TwWbMDXYki+qDfAnd+7YGPs7aorZJU2/R5iFhhMlraLevFZ7OxNQVchJT
b+L/XE9z7oueHvewwB3cIK15j+OWOtwC6SuZ4gjPAjenxJzMDcM9eetXBDCI0NxgM8033qjR30LY
x6IuzgA0gsU1Lc4+cJnobmPN3WeO/xAFVX83u+8ohZ8l0OS7cmYWWEoZvbRE4+8M2nc3mIKRe7BR
kfAmaIXzOt0yJiqBr6k8fcW+AA0eSE68DMZ2+LTzoNk6MfRWBvTCeR0T298EZvFY18N945Omquje
i6yfIVOCNZdHIiFGVLx5kqkfnkfZbHBgZ4jIAdpWLvGDIAedHIjf99bohj0ii+rQYahft5re/mpF
5lNv6VEqaUX0pyYZDovAInQza9crViGbxBu5QcofyUaXqOnLOncfKOerVp26+odp6SUVPqt4OjYi
ds5hPNA2k0zgQ8w1AfxdFZfz1qbyOnQf+4HLKRJxN9nB96TFTab7RzX0X0Qi5XNCedhGzGWxDvzh
RxGrA6CVdtP2HaYNgu3PKk3FecgaJvYEhgr+XTlO0WAOFoFQ5yKYyTv3/u2QkbTqapIocR9hCoYf
4i4toxvuoEyNFBjm8r4bfIzsLV9b34B6XIRx9O0PXYAvO2x3piI/1YKseymJ0f/QidjS5Fd1myQd
/fuqKmqw1kxNyAiQ9gAqpKYVjNfpKY/m7izCqX+q7RQ/kNGgbsVhvcUAnJ2MWkU7PDvGJeOgdcKA
Gi9TkGQrSxUg3Wa3PuH869cZ5tl17/jWuxFS8oy9RZ7spkbJ5tvbzSkAH/oPP5rBmz7S6zvUpjS2
JFLvMcts5+rRtKyrcQ9ERjjdhhjNMeWmel9ZWfUzDK34EU+uxRiHIlPZ+9bKV5l1MAgqrDqQ7Ks5
IOZSUcFw9pSOT5mq5hVGDos8U1N++2Y7bozBmQ7IBiRhpP/FeOiVHswQqIpVEYFs7GT84bVetXMi
bXD5RxuLBYJO38bz3qcUDx9u9KOp2x91gGq56KTVfOQkJp4jP6MSkGjwNiC9RFi9tJfcfCAsF43E
AdK4u7ShBrLBpbSWcPKXNByXz2hOxm3Cq1rVVsg/nJUXVtiRwZfSe4IYLnoDjbK2p2/CdvgSMjrm
yG2LNg3cksGbGKknjfkH6Ip8GMbAXw/0oW5IePvXOFm2tiqDAXQ/fbS+rC55oykE61kV+A3OaAvJ
sM8LeT/Xpjj3ccF3YvdVifVA9wfHajU/qi7exIGGFoLXYrSr+sZLkeszcS2MmggpQQeInzqBvT0T
RGBNU/EGK9UumdSmG2DvExuEQtu04vS97cHqQvvXp2QO87OcKk1izijWBiluLBjpVjrJK90k7QbX
SblCoFesq2S+h2BYjYg7J4Lt6ArGiIFOpz3pKpXiEsImhi9B3TNeBLIWcrXDXV04zyJUeNgEFSVr
cGcQCLI7ozP7SxROR/STZY8da87SxxAHDu+4zs7CHBGGp8T+NOcxvzYIc9L38WRt09b2APnN8BfG
xr1rbLBXZY2urEbxYBHIk6VjL/o+HBae128xB/XroLE/ykEdY/KhuZMBW0ZSxYXsbDVuqm1jmA8V
hVFtPA63pRzCG93Tn7uQZt2+MKWzSDrDIHiLuJ4NsMYKQCEpgJsFiaZjh7q9tAtS8W0WnXpccMvO
1tYy1gjOS69iLmeopqdUPiiNBQQMh2EmWnWlwwPHDtCqaZodK2EM94aFLpaYGP/JJdYH6bbVxXHV
Oc4sJpV5YLwnTlO9z42Zba3QS57Dkh7fDobiDQ4a8cKrrtZtn8lTSRp6i72efk+3jt8DfPwH5ZtE
cBmKXhp7wtNBp/1uSHpIWF3KdRAz8aqNgOowqya/MEnoQk1m3gIP6rFwsHgTtD831ncWM0cAPza1
j37nAXqx4vreZoR+caPMP9ZNfp3oe+mVmTetnbwLf5T4vl76HDNzYOfWZYyU2paM1vdZbKdbp+mS
t2tYCCZXqzaD8r0XQFrmPomD6pBSrbpI4uneJN26GjMR3TPZoeuZd3uj6ac4dkMrb0LRy3UcDuaj
bcbJGTOZ2Det9m+cIKJnIkij24F48dpsg+GkvPSzLlT6GMvCXCYIXDse0bXq2w+/kKQ1cs6LFFxf
V5cgjq1skdccu2fPnfatI9YUoB7q/k5ewy2tW97pPFELnEZ+h//LDddG73u3OEurC0W4EilGFS/e
1SttGM7zFDpyVcXEx0vVDVupBxTQbu7SLdTgErXXLa6yhssa5jQbAlnoLSZjfs9o1IMhB1LaI/U0
A/UfMt5TSlxv8KU6mAMULd5OwYMfdo1R0zXsOvs0GuZ96Zugbjvv3ufPL/rRMM5lkOa3c6I+3RZX
IUNjwQk4b8qHsulP+CN3Xut8l35ziLI5updZ4K6g5xJ80nG6HwSfc+QlACcR6BeMo27bqF4P0Ek4
qIUbUjyakKY1gU+jGeJOW0F/13UocNzwoNiVeWJtAqck3uS1Q3NyRBA+e41nXYqiM6+xuPogomi8
Hcex/WxlgjF3UHH8qEtejGE68osYYAAoJy4PWZKkazvmz1mhb6waMnwWBsXa3IQyFUARRjG9w6zz
boqhBWlDi1G5bgKvvNSlV+5jlQ5fucbMs0iFUR8jYETbFoGWVLeVWE9GyJkE6FWAq0+yXw+MfxDQ
YOhvHULDbJW9Ch+d2qKC2YLEsWh1EW0nJWTOOVNBW8MeMy8wjObPlQzGF2y0OV3Dbd7hpYnjkFa6
HsbkQlVpcMribNjYmaFXgssQdUShIV9p0mGeV4f5q2v33hbsJiH9DBTVQusiuA3A9fDiTRdUQzCD
2xhw8hHXVsZ8N1JtwJGpaeu7eorb23RILzioPhwv/dEXDoD9eLIPDVSxXd/PLz2O/mU74wojZ97s
ehD6a3TakuYJthsT4wqn22ZW1xERSQSskyuK3PsbVF5rA4kl3nhgaQ6F4dFo0xThiCisNyHmubTI
gw27K7RCQQvJoqXe+Gggsz6Drjn24SeIgouv7Ud0xHeLSJ0/XU2L7UtsO7DHIqM4q4E+2tYsvSVG
bQ9ivZ91q5wa4FVlWiS+KhBhJ7BuzcojDLsrcgNFzMttzkm+LG8D2XQPxKvpJ6p8gRestvtTVibI
rbCy5Dv5bJrJeAk9DSkyOuOyfAjHQuDoKcvXcTZnYubaFDtGS/prSMPuYSb8t53GylhjofN2sBMi
wulse5997w8MXxEvIucqVJei3vJL9tWya6oz8rfeDaYVvZZVB9ACqy1cuagcaZw4iDKrz27GvAMf
SqJWA6XskMpK/Ww2+OK4qwyCksJIwjGCHvA5mkk3EYpyk2/+zLXDpJjrlZoMl43VbWJnOdPKcoB0
kq45/7e4rPFe4cWcsnVjB8XNALJBLhK38jZwlhBKAxO9izCqWNLraJBdC/wHsoNcGDyGhk8U1xDv
6DzzyISgQvglitJ1fQDyCKCRE9IPlOrlQMjzs2PouBlFZ77zG7bXk9B0Dvf+fG8MJmwekpUcg/ED
7kXpG7dmDOtzYWL5uM1jvAANh4818IeSOGxebfvQT1aJcKxjEflP+WDicG6rj7mPaHSPVfyAH6R6
mKUwln2NipQULKct/bNnWgrMtxgT4YVQl31re2a44F8Z/bwuhW9FVMUPvS7ASnHItY5NCkYUAF7w
BNahe/Qy/KOrvkt+srDkp3jQ4xO0xSRdJeh2Gwu/zRs9TIr3EGe7mCITGIxJdLLmSJ0HiG2HKq3F
ngbL7pRYiOqVYUc/krqn79umEKbOGSFq4nDHggPbDzx/YibtFuR44mbaghRB/l8mBxQyMmbXKUNy
x2BueM4cBnOjQedTRSo2WLiVbs8odh7jlLmZdiXntaObd+6XthR9YjPk6bPgUT0rP53KGPehbe+l
x/04zrlN7pAOITqWQBI3KvXLXUwF9Y+2LZpXlcJmwMKDcLCo1GwGKw7n6VNPyGtl+xPib2GATiTh
y8XGjwrzRsX4bQzXxCiAe4GoZoPbUVg118C4uWebTDeNmHPBr0RRaDX5E7nVsnwywI6i7PlypWrC
7rMqu1PmjWcv9D0e/gGGa81bMAjq1uU3/9Vxl9rBmLjOJh9bc2AAoOJu5UusTlGy8hqKt5yQgpul
CqL2yeos5pWmyfmO/1v9hLoyrod5sO8sUrxc7znwnMLGGN5lHMIuo42voaZDgqKrSkdjF41jmpiV
4LBrzFOvjpVDjriJpgtvlBF63YwGl6pCbNnUp+3oucUuE2QknoswbL8B2uRcrRnclQfbwa625GIg
9TGYEoz9c2hhLMmnrIFrHCnDuDOl2/lHa3KJ3Y9SvvQFdXz17ItLPosAV1SipkUxVJ0Ph0ClFb92
6Fhr7pn6rlNasRSQncP/lCVBvAE4Ua+6Cnch/d9+vZ7aZrJvmFKDKyRYg1DlV5B2pcbGP2KtAFMV
tE+gqImOGJiPtfK4pxn++D3XAV5J7t76MIMA+pBWPWxgWLNFTuyweEv1IG4Kr5h/YGZqv/GCu7fm
LI1P3rp67UP4wAsf68iBrZBlgO+GAqYJBkxzwh80ndrKvdrt+jnfDHIwb5iGRaznxLUR1QVgSYX7
8C4ZAvNUQZV642rJddHTyv+ALZQx3Gbh/qHobIbTJzS459gHa0TWH2uldomXKBzTee2EL0hK/K6G
/GosS6qHa9T9JmxklG3IBXzQS74Wmjii0wGwrJlnbgnWHLIMlOk8MwJblPCEL5hUc4KhY7cRZh0d
wSZadxm6N4OPpm+8RT+U7WYq524/FXC46ZZtunVhV2DHUhcdnu3rOcpgjrHCxy6peG21h2ZOs3ei
EfTc6arb8VONjsrvrfu6TQ34irAH6KEHPWssu7GjB2wcp5BCQ48AvQNf5ja1LC4G3IY/bNipcAbm
CFjS+NVaw1fTGqR7QQnizbb2wvLAFEH63TiaJZSMUv/c1FF08IM6uAGWnHwNXgF7ZK6S6cRki52h
4GB9LZnzyBc5FmPQBlLgTJLgC14BNja0te/Wlrr9ef0rsEXi5w0uY+zEWM7swcyA9NA8DK7WJLpo
isnBXjyIpRPy5qop5Ao+P8sGnucym/VHgsuPpCRxsLsx9O6HuJO3HWuw5G2Fq6QbodQEmeiPAw1t
+0Y73YJfxyv1vpCLbENe8UxetnW7iS4Glghgk9P85vfM4bCRFs6r1/j67uqZe2l56wefbXjBfLHb
o3HBrCsL8Xw1JDpGrMBRh5M8Gdaol5xl8Nvnmb9S1nwb46o/Bi7gjbBT9eeUj4zbit7YhjV3XQMQ
HzB33QHyAA0MtASsjW9YWCs50kbYSQNb4w5lS+4ye9y6zWxsK7PNVxhcwZFHvV0TXjbKjek03r7y
7MhcsNJZD7XfuD8ZZaQBNnWfVKiR0mhqtZcibOJ7y2YuSH8lLAO3F7dhSGgu5Tmc3KmKiFJX045v
HCAp9npEV1/zxMbBkTDHizaE9xzPUN6yqamXmT9bjGYL8kTsvQeoG+LWH3qIEBxXXgbLTY/UdxZL
Dgf12h4H4lGDqoipBPp21H6G99U0pnVAASx3IO5XZ2/iVuwMejg2XpD8jBpwxHVOKERIVCzqQ8un
wpXZYxT188UwIu8Zvb7iSpSEUM2dHqIZ4PhqmbvkJFZ4vP1n/5rEFnVuP8BIDLjPJuGSK1C9t+a2
3dRkDZeNbuDcq2woIQbzqATOlQ2oOUtu2abJJSeeif83k2G8CmIn4rg14V5NAtVx/SXGugkqzdEe
h2cHhp2PZTm1qi42beL1l47Q+y7neE8UnPGI5tplwz4JpDbOST6lJ1VVlJyoAopihZ1ca+nejA64
N51Z5YYUQ7qSQ8sdqM3dVROm9X0yVvfw0cSTNYaLsrHfksp9D/JA4i50xwQSBg4aN54LsvCNu+ym
/NbtQ7mjP9a8wIARSygq/gHkan6btNljGQc2ZIgh/laWbT14jeM89lCVaAMX89pQgMBtkgIEw/RF
F5qW7Vxmp5GdtOyLct1GaX+h5Ct6oDGt2LZd427sgikzA11xq0sHMCPGNpy+VblADHntfdxlZpQb
W1zRe0hm3rZ3eIzSuPvuuK18TjM29doYlz1e2uUoZw+eS73IEioDTLvK16opsy0oV2ZDodcR5GI6
AEpyjh+7vt/MyKFClXzHSLZrc2p/Om2Bh1LjXPf7rgEzCWKqBlwGB4b509YJzX5TkUJTi7qz/bUt
7xRVvwuaJWtgGLLtN2SLsC91SMv1mujl0ScXOtfGOkjLE2WZ/WsRyE9Q3dG2N0Zrj6udf9rHrdqb
zbJq3Rt77nYGAN8FLV/OsVEAFjjwoh0U2ypOzxXonw8s2fpKOiHHoK948HGYjgzAnrIAOnltekuE
h6UN+nYRDX29x1J7jDA4c5cY80/RgbzORPOGg+2GNC+1n1FSVWCi7YiITQ10SXqGxJnHFWiWyd6z
8RguqkDRF9OVKFkcPTxoGGNGETUXZDyIHsY4LJ6+VZCNvF4npBWMbyVe9WMxQLkTFdZR0Y+biDV3
ZXpRNmAslR/USzoPgMFAk0WxHTcLbdjuhthLt8unqXaYtVTxQRq0dm1FYcHdHiwjeg/5H/h5NjWY
LjqTHwW1PNy1SJKBzBnWGb/besldej37/kThZVAzyiBLfg4NJ3wAgUw4qA+qYOv59j6gkC7yIf4p
aSfo8IPW046K6eQ99EJ2RQ+v+KJJrCp9hOSfIjlSZBq8R0nIQmxJ4S1N0nvh0U24nyyjzLX0axCk
2TmIPCn2qMl4TacefQR9NL3J5TD/cm4voQwyE3U7OBER+6FLLcF1PaWKb5E1ySXVQ/bQdw6rLesG
LJMUUNpChyXhRzdxvdea3p73qbLlZ0aXMRiToC8WOuDc3HKvW9pYWTfzTHWpryar24GYpiiQqD2y
TjRwWwxr3CW+0bwwKG7Wqa0bJMzOO3iuZIZvABN0MFaGc35yzWrk/qvuRGpD/qzfY5O6T3SuO8n+
HlXlnTCiY5t2xoNjEdrAAl5GZ8mB5JYnLn6Ff624EWNCbyPzBjr7ZyPHHq+2Xe9IriSoS5PCZAwn
oAjehmi4SDW+QAIa8TKHHDPSmRqDERxr5EeUTZZNdQJUEizdhge9SBg2RtK+mmys/sLeXbJDZkzJ
iGMXpLkLbqqd4YwR5QlD8TXT3LckedLCaouJDMRi0XkhdyZnMHGZuKhSJCo1BKyye4p6ajbHRDCk
zqU6pfgHzDy7bYUBK278L/bOrDduJF3Tf6Ux18NCMLgDZw5wMpmblEorZUlO+4awLIlLcN/JXz8P
Ve4+tqq63A3MXAwwN4UybCmZZDDi+97vXRzd190IkKIpggAuL43MBlZa5cO8nw99YbRfYj1psnVt
T+P13DYYKfd4zVH4xoyFKyzBtKwL2fIi/CyK1ZSE3n4SqCwErY5k/8kImE1z62NFWDGFFvhpLDSG
I1byGbLrYnPDjgu2Ot7ECEB9GYzzZXLo2rI1oyyQDZvF8sGus8sw6MY5nHVcQZvWmL7gg6L2HdXx
jem19mWqEJUwzrQordWMFXoyeeJmTDVRrRyH2wAfTMOqsAmDDwbQ0Dd6U7qQOcEbvw9zgAruH3dS
ixx9E1h6+kALR8pJjX3WJNdDpotr09OYFzS9esiIvq27ctha2fDYNlnFHQwf5kDuSt119imzpE03
181aTFMd+VaNcXSRaERxMlJkX4kfWuQ9EDZKOpOehbZKbVG/5nN8Kivo82Y87RxZY36RFhtSSjiy
AfLXsxuDwJNWhO1UjymzG3UrU5ZEbUwZsbAFZBTbR9XwJDsJCxfh3bDP6D8vAtN3jH3M6mAlsnrO
FXisP0oWyIBkMV5lmJ1/TOGqjutKb9VeBYquYZ6doxO5Gd6tdoOtLGCdt0YcMXNdToVflB2eIyJi
W6ejsujL+IrJCSMHmaX7sfbQBtQCn9mVmQ3z3TzG+R7i2dD4EtHt3lUixS0MQ3WqlSS5JOyK30jB
1nEA0eVHm+xNcOKxjK+t2WQLs5z+tlWMzXp0shv2De2aiOqSlokEgUMtkYKsbWtQp4E65qqfgrBl
hFYi4YwwfyVgLi142VtsHvyh5ZavNdk9qmZGjurO7ia2Mc4dXB2ba08ebAevoBUKx53VUEGtaErl
DR0c0SgorlGiVdV8zsvnhtSQl0JhSFk7nXZUS8U7zDK+g6+Hks7rSS/O0uQ2mWd7z6tk3KLGnB/N
SDob19Ms1JIztF8L0YOcG6QcZCOtkcuyb+GOf4RmhBu601M7BxXSh4rn01PLbTt26Z1tKOb+Rb1M
xqpA/5QCN1wFTIH8UiFMIAXCvoOiHN8ovbC+6Z7j4FM5F0tGDyp6vzPJM4qGxb406gYfDMnwBTL4
VUm86AWxu/VRZ32eo1JnKYVGC+4wF3cY8zargjkUEaNG4ydssgBUvXkQlSCYIVdT7LvKyrD1K9Wu
w7fiU0UQ4LoQBgP9IYfZhgliwjfO0MhjeJ/jc1/Cyyf4qIi+mfBoP1tE9nyYJDbVjBMh8UNUXJFg
jgUSdPe1FGh3LJUWGO0a03VEFAzjiKLn6QxF5X7VBu0zIfMvYe8YN5Zn3LKgQOtBk9aYIie3kaYv
EUVJvXQOOHqPJ29mdL0r6XpxYGbzRAhcN/2eZV1RPhpApkPmRgc0meGDU4lmWg6iXviFl5I8rHFn
oQzM3pEwpWBvOVn9TYYD3sD5HdEy7YdKy/AqEqOzxgUM2Ug7JNBnojYOziFg0UdWV/xJ5aV+GaSB
v7bThBs82sNtUATzB4y0U1I2OvpL4sQZO6e6uMC6bB/ULAGmXJIqUGTp7iGqSbaCtRW+eOHs+mWA
469nz9PHyqvKI/5y2ZbTIt2gJcSneRQl/SjiecYv+luXTDSskVfXWkL3JcM0vbKmEP1e67VYWcRM
TObUnbaN2c8ngJb2MEdK+6oQ+jwaDYU2uefZvtEiwsptJ9qNWIZs9RZ3bDl2zxqywUM8SMLiHImD
3zrS42MwD+MtKzKlpDbrz4XdJ99wcgJLj8L5o0NmOhYi9Dslwep4aqSaD2qMkwfOclheWv39FAa4
oTDccMe16Nvmoz5mzcnETsE6CTfvr/DvJX7B0oYOSYYX76s4YoI+K3E7GRHuhpqd6XtPj9JNabdw
VPQSVA8HhfsAQeIJFQKFiO4A2qRy4H3m1SvDhiGmO6cPUZ1BIdGgUM1NcaMV2oOTay8G1M77rNSq
u6IzidsgBmOpaot+jZLvUWh1/2HCzuHeGFV/p0041CfJeQBq3UqEyRe0P82tpRvjRcMjcZNARLk2
ithFrxJ0F7aVi61S42bSlvpgyNTJUKa8xqGFtJAwym5RgKl1YPXque+DZlsNOBLVWR/Tqgh2BwhW
e3rDmFTpUrbRGvoHcQNOU+16fD8+Z2GFSqSdZvktMzTqsabEDC6lTr5OYiv0c2ye9hXx435jY48S
lp1cV+ZCjcg7XM2NsDxkpQ3uswjgDKe7KgesrSNb1y+WlxbstVxVtqpIeDgDtsbXyPwMzO3ahN/q
jNuiFAo/jdS4LZ2q2WSep/t4bbvXHVHYeJ2/DuA19siZkQY4/FFGE0kwkSq6IqgFE7UmyfeVDWps
u+FnN4qeYSm9uKCtBL452zjAat1Z1NyNnezKCsNHG2WkZ2u7PEYpl02KzW/CliHrj2EdkolYPI4d
2w6OEP6YMhjS9Ak1XhhteGXXnW76fezoh7RfLC/1PYwh/KH6aD9hy762BjT/FlOhdjWMDLJc3NSw
jSVTTWr7WVRXqWHusTE7mhXo90R+8h1Ql7lv3DHZmi1xXkzcY5rJrku+OFhfbjUnTG5cJ1YfJfOv
eyunYyzmGCg8K/Td/5wLorBqRvcbR7XhVy2KzBtaYIH3YYgAq4mbhzdy3v9pxcjupTh9zV6a/1h+
8Te0e3WM+eR//vzH5vc/hy+F/7X9+tMfNnnLTOeMGfZ099J0KT/KL/r+L//Vv/zby9tv+Re0INj0
/cBRXK7m+88uX+J//Y9d8ZO51KIDefuJf+hAyLa3YA1hpWY7ng2X+ru9lIG9FJ34Qv9fZCALIf27
vRQeUlhx45CmOxKbMXthOf7dXsr8DQakp8OBNXV+HbGOf//23/UR3Ljf78af6CX+QDXkwoQNrRj0
GSa1eM8MdXBGttJh2OCpW5AhGM1oTWmxdB0qDUSX8RcU3vfszeVGENNKBq0FbdhebsaP7M00NDAZ
TcWwmc0G/zQzfO3nMllNA17NPzyDP/lm8g8UcT4LQy+S+fAKRKwn3hF5O5sWimEFDjk6IWhhZjEx
rMJIPyRSljcKI4mbbjbgFMoWhVlVe892WvS3cPXUIfNMNrtKg9olpoFpi+oazPCUF9afGLYwZ4kh
Q59sO9Sv8DBpnqaBHDm4IE7AtkQdHq5Qe40OZtjFixZ0C8Sr9HvA/bbforit9OvWrMVtnMomXDfw
kLCBcsyX1o6gsEDy6tduQ0IIA7rohRwSLOSRr/hFkM63HJw2jUk1hTvof5iH0xidEzL9ritCpXs2
TqzFVypCIrzikAg+uS6ukigKKnYHeLoOAIk7OfjahpqzK2dY2ytqUmRlnTeEOP2YtYS57/T1a5bA
9HAa++CErAe97+SG0fYxn+z7HGJqSQqGgbMwxj/XMantt1j3HcdI4okaCFzx4/KiZbCzXCHP0CZz
SC/OEcVzvYo9Ga2qssagwNPq4xSh0hFdB2SMSh4qh0cWPRaZUDQZIWx0sJkrmsJL7MFIyUZT+VMV
L9Za5DSPvXNqAaC3OFSvowiSjaGTRGNp3qYHYd6pUJ51RNhgxndT1QPl4B1r62O0W2xnfKIfDrLS
SWMvDT6+rpnA6uFrnrCLWl3C/5D4AhBa7GEseOs+dTC3ihAM2yYfLu1M+L0rzkNHz9ZRBq91IsMx
VLjJ8lD50g6fBk6hFXpDF2RW28WDOBeq9t3ljiqQFz8wo4+tToidGOWz1QVHXTkkJIKypIBkAlrN
Kh7CEsNH4xxQ4tNB6M+JnW0NJap11rU7QySvBEsrRET1xeIPDHBOhpG8Ki8+Zm14FZZKJ1AioEeL
qo8hHreaRXDl1F9Hgdq1hnaM0jrelN7EuhtdQN0qqKrwmBgmWu0E5OJD1VqnWCsuOZkba05dDIuH
9JqUxxe087gSQUbbqoyHV5P0zDSL2XPfDt4GxwaqShe6HMAxOnXTPUloxCcjGJ+ioPk0YpSysSQW
44j7Sf8JtPvACI8TplXr2cBbudCWBDinIBQnyFejHeIGrArmAvKihMcXAK2HPZmv0iF+IoGMJDYU
ofiXOOvWAXZfKq1M8NH2ILUDetge8ok1rHmw5yjDzSwokMpoKfZsQcaLqio537daA42oce4HwTfN
HVgCOc8B9PTJC2GZ/V85Nm/ibzVyg9f254Pybbv/71P0/6HDFTAWnrsH7/6fKy3va6gAP9s3/veP
/X7EevI3JJbUjALjIhQyDqfO70esp/+mWxiMoiDj7x19yUD+u4Oj+ZtlIRXkQF7CoCFe/eOIlfI3
Dg2BOytaMcHo7d86Ys3FC/JHPr8L84hMbX4hB5+FUvvdIcvMDsKSqXd7MzBpDhRpltrg7jNGuVBc
xotrM/fqx2gJCCOkZS7al1HKT4nrXjInFXdB5VYbqxqe28WUTeHrDunR7nxN09Flt1X+UZWiuXZ6
XCUK/P/9uWczIr/xbJea8gdJAZoztMZipyShTuEkBqAOZGJdCq+stnY33RWmeMnIF1i0734aWngi
eom5mpX2bIbGCWqcZMqiVV+iogqBP/px304TE1hr4awUYf8lbnA/nItjnS5cqXbApyWzw9tQCzyf
w0FjfDAByhtJfixR5123nAh435f2McrBRFelAyy0Eun0GHjhPWDe1wGgSgnciNlJpvlGozXBK3Lk
qCwYj0QMSVbM30FIp2QHV9M8lmzrB6ksRiH4HHCme6TvVXpM7qfTTeOwSiy9e9U779RMob3R6UjO
gGCChIBoE1WN2k0NuDbC+vzGSQqPYWUTPBlVqO1tho1XZOiVEOwqohYGj9jnGnwF8x/7qbWnL/WI
34aRYWJQDni4SWhpGMcY5VOHcPAmsHtx8KDbrmK6fR8avXlDGGMHYFi8JHpLgK1XOR9qwVhtCPGG
6xIEXXia4DfgOOZGRTk0Y6+qr6pslHduMz+XJYMPsKYK/mWnLkYxXcAPsQsHcQEyZ4BHb0EvobpN
WWBozmyDMXKfvsa5q/ZO4X3x2lT5NjlDJPmkuHQPdLabPhNXhYNXDf8q3UMni65jJvuxbd+DySRX
uDxiehOO8X0T1I2vHKk2TBHDm6QK07sBlsEaTjPYpPJIvorp/tvSfFh4cRsHEOMGDOUT69V7GUUO
jVXLM6LICuRCLeEtfdncB1pwH+FmZhcjUbNz85jgQ+z3ovd2TU4Q76iZn1PQin3SNnBOynGjWodZ
e2I026wr2kdBLhJL1L3rJ+8ecOA2B85fkaQGe5FEcNIH8Z4ng1l4O/iVYXCTGLKqCaZpCaUJlmzB
kDnvrWmPJeQdTfOjWqUfPBiMmwLazyGLScqzWYMfwrYhgAbrrX2oKBNSKJp17DW7uS1vOpFgsOSm
tXFt5UVy1ySmu5Ml6ijO3kc9bMaPmZeFV1CfxB4SNeaRpv2gi0SSz0D8XJpwHPKo+s1gTXSwKmk5
Vzst+FwXZb8JlKyOMZzSq3kawLuC3jEN5je19LugfilKclmYZDBbAYg62Zk5nkMGOn5J9bQZydol
0dC+QiVufBD42fhuYGEY5g3xedBRhE+l230QyZxhUmrP39oJqk3LxMOmBSZgJWnpjGf9HChsNTuN
wS6JWsW2FV65Fg1jpt4OI1+1pDWu7XLJ246sPMXMBxIdpoD2Yu3UfZoaz35gWOTsiSMlVEw4wVoT
hDTCd0l2sck4I3Gq6bpyrPjBi8vqGBYVtW9kzRL6j66dvKwm1xAb+k92Lj8JwNhtgcNr2IT5vmzG
27Ilmwcr0v4uHhiuaXFDlCoGSRTCYzFfudhUOl5TPsVWB6fRIJzEAfVD820P+5Y5JkyMEtqyk6ot
fDZIxGl50mr3mmBF7L2IgwqFR5wxLGpgwWLtatX12AeSNzc2yEYYyX4q+8i5NlM8a/BxL4+B3iYf
ImT5AKDdEW+afpeZLbaAlL9QdrL6RGXfQQirhd/FuoRhDUuiT+bkAWdVtV3sze+CaD6PFqiLdHOi
0KYhPpRJd+YcwoWwCKotrVH4VBfZvNdT7T4cK8GYOB9XBRD/B3y8AJrdOfahHWKAJeMjHYu6q0IE
fhZqFyJiMKet9cUEDNBtZYzukjWqMxfVaE0PmqV1fqsB7QexS4laq/qIq8bSMVaE6hKl5wO1sgvH
1gudJKHGdqqvIUCc4XB8Q5dFbHmy2Gh6DRWdKI2NIqQMIliDcWS3eGoFDFmLPHgUJljn2zUwrjLw
3CXQrWg9+cnteZtTi9oxDGbvRi1M+rXsLXOpI8PhSQtxCQIgGup7WbqvFmkj2dCx++p7d4gWm0v3
A0l3mOH2kNP8xI2GOzlEHZYbCpmCltw5o17eOBgYPJYIyzcVNJ6NN0ePqLF34IfAspwJjBg07zNg
/rwlN/C5GFlQGCvcE0/krDE7HPw8FSfMq26Q5UyE9djJA0QBeeg0jWi65Um7agq2Rh9KwkbZelov
f87l/NQ5xZfekdAntNkgqkliKuc0mPdYcHavxiC8jaOqvnEFwHJoyHOs28Z6CnoXml6POS/96qIS
gXOUOMaeGVV9H5JB5c9NSHZx22aY0BRfhcYuZGfKD7DaslvracqJxjGt56yDrh+0SxqxYT3//3L3
X8OSkI6ZQDn/vNr9r/z5a/Y1/9vX/Plvp/hb8fS1/tuhSflj87PXyPff9L0ANn7DUAQ8BQQHQTzh
CP8ogOVvcik/0RhLtKRv5uZ/x5iAn1CX4lNuYi8u5JJS8B1jsn+j8wV+grtnEVHB7/13MCb9nY52
cS1Hq48FClcGJPNWH/8g2W2w5MNndKx30ZAZ1GDZU166amM4NOJRUJPUOqevrY3N2+ypp0Jv9JVX
MBSG8E6SUoHyzc0bH/UrK3KIH3toSOsfbvKfgEX6YkTyg+R2uUR6B7GgYNwR9rCfcSmjDwCuVFjv
XOBZ3jj4M2FUQWeIvGNP2q9pjCe7Ifc2lGww8Ex/gVb9kwugS4B8bWBqttzDH+4R8SOlC42XFPmQ
CzDmsV+XOuxgIw6oTEtJ6HYQENTcXnXRMt7BRegXl/AOmnu7BbYLBGha2DfSc/x8BY0ZEwOC296u
7kJMYnXnvoto+av897CCfwo5vvfh+P5BNh9D/IonjXdf1UYkSutQIIEq+gK7kNbbOm15KaoMRtnk
xevJZkZQIcJfwV0hJCgQRMGM8ozJEZYbiFwQIBnB1yZhR65HKe4MBX6zvBdoQ8YaH95i2tUZdY6G
HH2llOlsYGLBeul6DKrKEJCzk7fYoDJ0Qwe9mir7M3k5B1E3gDRxFVyFOe2SRrzUrrHwDZ2CBxwu
Wa3ZfF/orrU1x4EU8ka96sZM+dunT7mWuX5aB6fZ9V6wtb4zZufTX6/SBbD8eZHySiz9qE5PYlKu
/vyEnBknbCjbGL8YAQPqcfqcBIHvmnW7puSI12YU0uhU2E//9efK9w2sjaIIjw2Htky+bSM/fzBK
OadEBJHssMlPN6QMJgfHhdcFjip9IF3SAJwZfngtGf1SOiOZACRy3JwHSjQXOYNQQlzgOcvhnTLI
LfO9ABVjUQ3TLkVJsmbGDrw6abnc/OLa5R9uGg05Y2CXVY3pkXi3rPHaRelBuNAOI6Tcr3DcR+K0
gIQ9ka9o6DbKadNdG7TZCaQNaZd+GBSszkXKFGT24fcNyGQUZR1t5IMrtwEkgkja+A4qJ9hixB2N
xvztr6/7j8/aJGlPglGzIWENwanx437QSgy5GeSnu0GrKZRMNgUX7/bfb3Rtl+ijO+BI0ujkr97P
P7lh0mRmIQi/ENaCzvz4yZ3MgqHDJ3IX9Fjx9ST4Ifxvm1/YHHAivVvLJpiLjn0Iqj6sT985Q+Uw
mQytStNdNDn5zqkrQhOC6OkXN9H8475O/+45UjJlMbEpeff0KaeRbCV9So5y+gr/jaGe3YAVhrnB
XHdBcD0NAkrQt9Bw9FldZVb6qofmfCaYjYSCDuvpJfFAN2G64AKkYb2HWjKFHr1VyUAGqtDiNWX0
vYYilCRt54THZc1gu3PBREGre0RxW43YgA2e1XKDznMnRvY3SyezLgah2BQx/wzLUP3IMAO2fEf5
7AX8vFm5iPVJaYALwv9V44jz9TKnwQjd2xKMmq8irzS3UjaPY+s2K1kO8BXb5Cmb4yfEf2cMPoOr
AAenlQkaXCOr3jewmkknzffa6AkG88LboiF7RQJHGFLBnouichmmeyw4nfWdh9BQ+jJ9snvWIGbv
D9Vczhjce/cRi2OttYrrNs7YJpDfE+GaZciWdGHe9mHZvadJIVQfgZtNGid/HNGkq4VhnYIvfdXF
xLYsHTAn0FvcdlzfqMBXQhv0BNToCzRfIii7TN71BR0DvnccxLOtbZw0eSXclLCrsHVJAOV6cSVB
26te8DqHdWOkR5ivPXR5Nu6hK5uN4gDxk3Fu8cXVLg7qZmw2a/q3yHB9zFOCdWcSichelu8UpCnD
5HHAh43XWsMJnE6tscrM7EjExsdE9+6rBpZ31aEZV4Eb7Sh+DA6W3iRXnEeTN/WdHc+gMEhlKTB2
2PI/1aKpD01H8AI9ZbPxRp4m8FVJK5DYgAX2tqrSV8hZcvHGukYgez1n6pWhA1hFMzV+aPJFkVha
TJZuSMWDDZn3ri+Fc8JBjOlDxRlARACjhw771qBknRfLkTkV1FcKe8c1MtZXRj+sWJ7s5ISvxGLw
V6KyHntFFmoeMndBmtP4dBmvBa7Iqzxitxbx4DJ8L44j6borFKHkjs3ZkwGhCctqHQFNj8wflGQ7
J9GTbYhiH02ivrYD5x4Uj+9IeXq0E4ZIbw+GyuDU2IhACJqCxLOs3Wlg2YgSWjZhqi3y0PjJRT25
skLjbLipt4PT/eSKHjNPVrje8mq8Ldwa+TAMqRH/EUQ0embvJunelx6FTAQL6fdXIGOFoQY503+h
EOkpPk38R27ykYfVxUu1ofH78KcwVi5KeMZIPP5G8LqUXSFWEhj1OAhN22DNEq/BMJVftFDrlgvn
cqliunzeJhpnmufxvaXVNZ8YqXnbDlwEfsXIq+ZE5U3hedUm7nl2zoQ4Z66cg44u3bcyfFMAKxM6
x/5YDDBlExUk20XYgo1u+qotIK7nMBGb+R4sXfq25QFnwjrLtLpgH4Ebzpi84jrtrWCp4nDBAusc
9dqO1NFuz06QJyEf0DCpwfjcW5f2lNDqt0yvBm4izQD1ENRJ2Fwe9HOLftmS0HwLV/k477g+G5Xa
2HN5sSQC9OV0In+aDNKQO2DpZnAl7eR1EkFwK5NiiwkJQb2weTZ1k5PiPkp01N5znrKZGJKVm1N0
rZomfmga3mOIfRerZ69VaD18a7R2tZM+tdRXy3Y25dyICKO0t02ps9heora5MG/lYOzskyxsfBBS
60y/k+9isHXGrsnTpC2BCAaTPXgZ37uJaClY7NjQNsuxg/bz9PYNh0m9Lq9EFVvn5SjA1vDcllzY
2zMopXeKMw2UOg+IPx6OCFktBn7LssmxqAmklW0KHXplYhIpWTOAK8N0UyO68WvBYnzb6VyUt2sr
cu+LyWJHZXC7YTcZPjR4W2FOyvub8GZuBhLb/dolhSdVTXDVLk9nJNR2bQGyz2EufCvhPRzLebx6
24nxOqMQs0O0FDEjOM54xqSze++kJWodfsLmStxx2ywDOrfhAXQx3ulx0c1bTWXxqfCE8l0LOSSO
+ngVCO7Y27mC2Rmqt6V4VrbFMDXYII+edqTU8yJO3MhlhY0zm3FUUqaz02z7mUc1FCy6GuAOkzSW
VbaMDt2eR2PAIHt7uk1SX2JkRSsnYtenC8p3VcgvrLCT2b7tv0hFFu57xPBY6cZK84piXyUN0jF2
gNrjA8KIVW11vEDOrI7YVeOtXbHdJKWu/LdyuIuTdNMN6Gq1IJ0eEMsWe2dRxxoRy1eM6ultreRt
9gQQBOt2vCezeOLAqJmY9tzq5bQJPPZF1fIKBHWrbhA2Ap6j8FyZfUokUUtSNIz7btWVebV1+hkt
sI1TzUAaFUPnpT4nJjSpqmhPpCUH3tRWJ3bJ6jo2o/ZgDoxImT7YJO5FYKr67G1VNyxKRi/w8a4x
V9gS4jYQRJbY1+UcPkXOMko3dDPe9qgP0V3Ezc5zYInFY/xaVMUlqPN2O9JZfdMgQX800gSD+1xh
2FS2HxOcmXb0OVjkB/CxhKkzB8hQUCvHiP2o0wPfIHJjH6bgiTNtUl+ES2lQ9sWhtiIojl0GB3SG
DW0OARSJqSqQrXMsqIg6uZrrk6ETzO2YIywKL3zqtBTqu4Ohfq8CYy2HudmqQczXc83rVOZs9kub
VzCi8mED8h8XrZJlDdHeA1k8xRbjipHJ/BrLPib8pEesG8QkqzElK6MvK8xJMqgP+cQd62X9kiC3
3LQ93it6lTPLQG25kY55aL3qknoMqLyFDd8b9nDTG4vYAl38rtSRRcXMvPl4vHaIaQh8hnf87pkR
TKzr3bburCuoIl/CNBxeVFtj7VuBkA6kGMNNtb+VzkKomZBXUzxrAKCrSBMNUjcsnLSqTdeshnqV
AORBRBAMms0CVl4gY1R6sbHXEjgTRjMIHCXQmgj7VhtIbqjZABoEOwwnyHQLeaYh2SlDfR0X7L/I
xxgeDFe1nborXPtLtnLtpbRZfERRKIRoYMmq076i5MXVrdKNQzubZyKcJQJNcaw1Q/l5yJYpkq7x
61jXFnIk5LaRdAx36XxmBVVHzGxLcRe/6mPhYZ9A/aSjLgatjaYHozWr5QkTlJZyAuFwEbwOiUau
hu6mj3nVmaT8iEsv2So0vbnkARBHpqr6Wzh7y2QH4cxsO+1OFRTBEZ7T20FRMYlFrb9KNMnGtezj
pqYQ7XLOwX9cE9/XbrQe+UtXApq/dfSWR3EH1VbduDDsOGT0MyB2vUpz2JA1LhtrFGM4U4TezhyG
J3jZ7k7l/TlyWTEBUwXShXs2TY6C5ToXhocO+rBrbJ22kNN65VFmd3r0pEjVEwraY2+Jc8O0CUq5
wwqNmvHqjUUVi4WA7RB4lw5HjKC+0EBWW9Fb9XUjZP3Qaeoz9v6nsHV2lZw8nEjZ1CRJOzfJwNW4
VFWM81qq62U7JdZ7vsFDgImYS9T3YLn3MCyeyik7UmDAnnVGfOgr46asqWtwHznCUrbpGzF3aOVA
MPqYfURiueklZK9WpnzXuEbONCTRrWCi+TkW3HtcKfA6g4iSmqywMmU1dMTLUWBxTxFZcJ9Nx33E
P7y+DrV4uM8qjWxwrHl8uYBXcTgxiFRkmC7Uj6ChzlFVNJ40Uu875kzLJp1ROPV9Se3dtCh1B2pM
Ofcl3MsEN5C62JOLvQtE1xx0DyKOFr0yb7ughm03ZHycQoPrfDvRUYvGnBHJU7Ws1ZBlcsJkhi6P
moDmWm4SY9I2GhcMGs6ZmU8FOWFL1zKPAEQIhJTfhfWFeQn9wtANH8KSV0pagoedt/mu7abgagKZ
pNZJUWTaLdOSro8hlugbLYTrNDoR1R0d/ebtlCOqIT/GPYwiz5xIcXA9/RiWfEwqWcNjZMxfMiKP
n+t4RPUDRRQEBF4ptnjhutNYTd4UBF/TgVS9uM5exSzEE842+THl1Htb/fSbm9ZJ4iua1VdACL5V
at+5I1k7njznkFT2TcDJlSBGXoAqy5yrfRd6/Y0FBXQ1YUy2f2N1dYXs1w01FJtCWJ5rplkcZszx
IlyT4NZHpylmGwOMVATUQ/NXVnul4XLOjlteT3KeNyaZTbCxXepVkwIr1uQH/OszyD4Q5Ugy0tGP
gkqx2jniOh5Rn5vnt7PXG3lPIzO4/+vG3/ozeMF2bSl06dhC2Au88gOc2ieQ+8NkUjvcC2jEDQBb
q20vVQkomIhs3mL3AKWs4ym3czpvI5l1bDXlo1V9cqvyXrixzjtMo7uUGZ0jNEjyzr3qw1shx5k5
P2m1MiWtNhpEvkz8b+1MQ8nithTAbUjwGOfgW48E/fMZ35Lo1R7xULBa+6yrOfcHrdWPEhnVlV2O
GeMzYjiR0lGUOvRALRxB+iUl6a8tai9NoLJfmrAOp8+7zn3GGbq+zpHwr81wqQKjhQ5Hz+tboRsc
lK6P/z5EzkTAYFAAHxVU4L3xZpLGESFYltoFDS0HVhPBVQM9cW+jS2GChAXhAqXy/Tj/O143nQC2
X0DUfwKKuR7DDJvsGm+ZJvz8VPGTq6xYqm6XOEy3GjlH+6amTopsVIxKSyCFQLOAoxcbv4CrFrf2
93gV7fvCLsJ0WIIl/fzRvNl6R1ZTt3OrkfhRNnUfqY++jJUz35zL8ssy798Ei0sOYrbbos/6j14p
d5Mx6pe/Xt0LAvczDgyTCGUUFtaOw/J+hwN3shNlVAxqZy6bwAIYYE1LCY28kOgG8xyH7K5//ZHL
13v3keCjGFkxnhDIh999fQO5MO1m0O3IUHE3aTW5myrk//CluR8bJJp9hGcT09Z0jxgz2//1p//J
28ycgAvwXJ4+o6yfb37GTTVaWH27yqUYUwA665yG4hcr/E9uKyiztGzscv9kTMVpKi2mZO1u1gmD
6maSeupk/ALv9ER46+epTX/lZfve2JlRCOAniiPctCEh48778xer8jqkLMnaXRgnzXXQApjH8IIP
bAlAOYMLD4aeoxSgZwuTNBvTadczl8a8oSKzro+f5/Txr+/1O0b42yUxR4Q8zWIHBH63uErCCGNP
lLxjKvlSlNhG/178qoQaj9zEX3gTL1PGdysLX2IYTKD+rrcMIn++BR2x33aQq2bnkm9XY8vs5xrS
6yLAI1BQNcM6xic2TR5KkR1giDzUMYGUfTzcdFJhsLSE3WLgevPXd2GZyv7hsjxpwc9n5en220jk
hwPEcMdyCp2wgVzSg9OkFM9YrAPliBxABdsgdIzHCJDsk9GWBJAVPCJSBoB04cjq9QgwRR2Hbx5c
ECQbUIht4zTobb1qk+Sb3ZCNK0Z/NilBWueAXOosqXG6MCrhVnXJRmtDsm5Bapw5jNa4nPjpMnVU
Nr55UqTJ2sxaNJbG0lsLIZEVo5AV0FK4NUBZy9ju7WBLZlEf/vreyD/em2WSTEa8gUKBuIV3w1Is
bseWxrDcIbZCcGjhX+SQwwIBNwMXc6oW9zQjBjrIsLrokcUtXxNoFc1qVVAQQvaDtIF5DDY1V6Xo
tI0F9XnTL3XzrKhKG+IWboAkEIG7IKFh9sv9TP/jSMtBHIA5prEwMknjeLfs+pZ9vqbYpChtVomH
cx6YGnJ5p76glUXXaWdHF880DH+RtmppvMX8rPzFtvrHxY8Vm8fykkzuF0vrn68iQwdeEsRZ7ZDI
XJGQCmrDSsCZ0/7FB70PcuC1ZnSI1w98Lii3kHZ+/iSmIEElcaDcBTmoIDFXK0ImIK0Q2fWa/m/m
zmQ5biTbtr9y7c2RBneHoxm8SfTBXiRFUZrASCmFvnP0+Pq7wLr1KkVlSVZmb3DNqipLRiUjAgG4
+zln77UX5OxERXLzrt3lZuoJdcgMb6YPUOoU0LXHOn6VlPCgseSVV1DvZZSAb5rzaq0ZS4p3+ttX
RjGbVzltOIs46v2vb7y/+9IY4DEA1Z6tcW+8G02VVK5SLDGpTi1QUpkTymsAOm2LllPnVEwNnKL+
21ovvWnF+yb+Phf+b1asnxdID1kE80SFZ+dnNUMu+9arhaiPaJP+VOQHb7kMdJBRyG7H+XevJn+e
YHke6KGAua9CLe2/33nh+iIwljXzyzE6ZHU179axJOZgOAoi0jRwOVAjXWSL8J3otliq54pk6GuX
PGwE69Fr7Yv5OneahTwDSRA80bU4sFd8FzRftI/jbwD6P++jvGO9Doo9SK4cGn+81UAhEM4w8Wh5
1pwcq7budlZGB6K3qZ9oZSMOs/PfDC3/5sDPq3FH2AEnVMxF756knKMDXl9ZHcOUxmYDxolCfJJX
aeVMp7jo6KdGwLFF1p9b2lOX0LQ+vPUM6bdbezBUoHtLWgghg6Jdlw0IIrUSF7RWxAGW4L5WlJgx
Jp6d0t2zXDhvvfVESkHhJBk/HzpvXc0STb92Hb84sk8+ZFRU26JS8clZPOcYZTiJk1B9zPEYbITF
UK8WLuAyhg6H2FsP8+EYHPU6ocTX9AFaEH6KdbZR5WBPmbnh2k6/u0nHy02wYkT4RVnTtK3rdoSN
wW346yfub5cNVzkIeFxMamg2fvwua0SCsXFYNqK5i++ygjGmoHw5SA0wiMZyxR5IkYud55W2Od1s
zRddjo2/G3vksqVrxgtvpkf0ttYXMDnOyZzU9EzbWgPMlp/fRpvgQxHkMq0FnWnUTZzyJfz6k6w3
3Y8HWKxgnC5QM0mo4Prdem8ihxEsOPsjzFNokcAud8AreSSceADoHxTbwF+Kz44fejusT9lv9sw1
0+n960sHPgqaF7RG4r2+J/CnLCDnpzraOVO0SprpTmT0+/2cTrhqAueprJGeJyrOzr3gGSEaka6C
RR87Wf8fqr9m19tg5clU5hZxuKaw6OhAz84XW/Sgqapnq6XofJs/0NoQFn2+cCIsLkRHr+t1GqBp
sqc0JY92sfb4prWdu9TJB9OMzpOdk/tuB1dmIExOu4s+zKvmpYiC7/x3leZb9p/Y9vJjCS3rmHmM
G3/9Jf3NycKXnL59EQREPGh3vYp/OXUNzOpKckerY8OQ4m1AgG6ZkbBgIlQnPIbo1JE7Zst5sjN7
syScGMLkieEB0KN1DLPYeMhqAyWc3fpDvq5vjfvopPjfwq6GZliumBZmEZ5dzMdfv/uf1z1MJpwo
eO5tytT3NVLfWXWL6as6Wr6z8qnJEWapyGaq4rduVB4Wv1n1fjo8e9xTnE8pypA5sLG/2xBj0Yaz
yagEaW3jh687dM3r5P5tFtO+fb09Q6GB9QUlB6KRfh0DDl3jb8hp7femMdleI2bZINX43eLxfqN8
e3Oacy3P26oaWn/+ly/Tnf00tQhLPCJUxa9oeA+EmTIF4HvK16vy68v/Ny+3PuIolZSgmPhp28lq
YjyjKjuOer1rsWzNFgcqp+XeoXb8XUXsvz8FE9AB6tBD0YmQTVA5/vjxYqJ13QUqxjGOY30VJIPD
WmiwhTs4OAzAjc2IN2OfrDZAzL+a3Gnor0JY5Y1TOd6n0SmCu3ToT67qb1vXn/aN27kbZwRiNvKM
7uiutJc5lM8jIdYuhK4yuSoVjIpwKJhuLl0JaY1fngzGXWfXHxLa4ee0LwVRSKAyrEoWCJuJAKKG
ceKtVSUj2FJQlrYiWHsKR5hYGZmDUeMcCxmpC7QcFhOV7LadbWdL2aaAziiuIf7JK7ex0l2YZiRb
UScflsGCeVX6/q6P+UEsrVexqu0Isek/zBzUSHIO050XU6mF1YC/khMdHUFDWz1hTr0rs0JdIFDV
6MCyIN25RVMeytpJIOoZOA+FgxOJJGJ1VF7jn4KE92DVYUR/96HunNsoJm7Lojt8SVroQvtnEV/6
MQA76mX6Nw+aen9Q96TPIUwiomVVsqnXf/yygwh7sJWzy6Og8E9vdY/KUY2Urc1km7NUCk7htm6a
EsrhCNN0mZ29rNcvsELKju2X8OC051zvGQ9ybh5/zWWqDj7SQ1zFo0tLaXD2s+XDm2GBxCpqygND
BGe7diUOvlqsR3IKnKtg/fVp1d12sXzUHmqTcXJRkuhe7XtTlDAHWv83Daf3mxeyPx4onmDOMSw0
9rtbnZUTLliT+YcYt4XB6EKL6DdP7/vF8+0lPBSGxOC5ePbeXWCqME0jIPIRDKT1rhpovw5gL3dZ
DQux7YhFnS2YmL9eMt4fCnhR1k5s9HTY12Xj3QoVAYpJ3dh4h6byyF2NArOt4TAwdsMu6ytGepbS
7bkydgj8NGt/09YS78/2nmKfQ+fHAZ5+Kh2XH++qmVCdIV1pXj1GPebyUO5rqRYAIOsLhjo410Hn
H1ntHmk7ZMfccYePv74Ebwq4vx6M3t4DLXJCYnxEv/67gzOPjfGksdxD6mbWbpib9lSQ9E0hbmOV
IYU22CaF3b5M9hLecCGdm2pCdVp20n+wMm/ZxYNntu3opIe+WPxnu5VcyqbldBfXhyKLzf1IXtdZ
G4+P08XeVdM47pVXj82TjFAlbKZSgJ0MujvlAXWJByv/zeFLS67jD5+RAywtUzAKisY1e/O765x0
kK7YQg89T9XVqMx0AFFLPO9QDRdvH4IY8vzOJrXwqgUlumXwSJTPYi+7XKAdWTiC7RS9iK2KIcUH
MPJ3Hvgunmu7PU+L/F6jxThZg4uEDILTLonUh2wNxahNMhCtG7cgwFyDAmDxj+7kDUy1SYHVKckl
UIv3OWG4KHwAKQ1VaR2KWi4gLzWYmHg6ZKZpb4BBgppxByQWcXQ/48DBKj3md/NSPy0G6L2J+ws9
ggNYHDvfROCnr2Xidc9WVX779S2jftppuZw04dFUerSCwVD8eDkhtIYJzM/gEGWG3klvmS1xLFdJ
ND4UhRPi43HEYekEqCp3xrtNx2ubAmU+ZX6OgyihewUQEIZlwGOWlkN8iX3QfmnwfDNeDpZLfot7
NQyQqfD6lScaST2O8tg9ZvbwdUnr4JIqz97aHZI93bXOoZFEqRdGmq3lVk99PuPjmazHgob0LlvM
7042zk+rFTBfqk3aRtrnARbvbqgUOgku0FwfgPX2tz4ehS9yGhmC8cahQPS+3PeV3x27cbIOxCNa
CHGa+FKknX+anaQG+Rn2QBeq4mMSrfKOhMcuWwi7xlCbWgc51tyYbkScA+K4nY3ndD93BGmLxE+3
ve2L/Wz64zTHRPhI52Ec1LNjiXwzB95DGCffqHXgdjGfuiw6y8OdWA/XUZn4dx3nyX2cYygOhpxy
vCTfuBin7ujSGzg6jPwODCa50Qdecgpy9Zsezt/dO0wuHJrerH0/HQrnKYmZUXLvEBv4HbeBf7c+
K6DzAGwLiBy/vlXf4lPfPfkKFzenCNo1gfdezFz09KrsvmOFRU61S5lDPyMsiy/rpRRbeymmg7LD
9IYI+/hS+oYFz3D8EiMXfRoaTvA+9ESmiZ+GICRtxb0OF90eBCqfyb0ghLXaNTPP9ZAieeXvbmvO
hDsr4L40KduHHHmaObZ/r1r4cLJCzCeaZfhTEBJ/gowgmBxO5VXa2u4+w551wF09fhxBw94z8A93
QsbDhzpJlq0j0WkQY06LyyV/IoJPcI2YK4Bm6n7o8Mecgmxm5ViC/rpwS+/K4K64Hm2W5bbOCChd
3w4T03w9iA8fAXlZu3Zgm7Fi0ry2WuK6rBqCCsj6Tm+kXQGaM6X9RYUkWyFiZpwdx5V1CEyxov0i
60C8C4uRJ9x9TC+IEygPxPKbDfpv7hZuEnoxqx593SV/XGla182zIkIV68PlYA3h+plaszlVTrXz
NA/Er++Xn19vhQjg/GcCxM35vkp3sxJlMOH1h7woOIDUPA3I5oIzmiP/FC+6+c3TIH4+WFK2wSCg
4kWm7sHz+fET+sjbGhlFzgEdk9onM8pQQarxVVIwiCoXwvwm0pL2UeseahzHJ9OyXLgZxOeq4OH3
4OdtwWiG24nKmbx5Nip74Ku2KweCsCc6sFZ8FNItzH3Rslzrct3cNXBpTXr5Hdbkl3ldRqISfg1x
F/x2kb+gX2xgjaEKTavE2kX0Jh8rCPPnxfWvISZnB6YM35sKgvwy6u+Zl7/ImPdu2d10mP1wuaSv
Jfein2isVOaxXbjXhcXK/7a1wiM0WwMC5RlFmdqDHl8+CES+aER4moKAXTLmFrys4ty+HDunO1bu
upsWGWLwmnNJlrDP9EW/bOz1WZ0l64cp+vmVqCVkTgP3+YJtnwgn054Q6LL3QFHetVndPCVJZh24
boqoEN5Q7cEWoeOy7AIrZgowN9P//DTnfk/m3joYjxi4TYUyZNfLsdlOSAs287rrprFsz04CJt1w
5kEdNnIe6KaFizi157iz/WvRMMDvc/4YdBEBLh5PaBnzV+yIE0QZktCLrRN6opEw0qLWkJKBiqjs
Qkhw68e0tEhvBmtZsBKLdt/PlXvEowS2pki4drn2j/nifnRn72uBXneb5Y4883QOV3hqIIOPPDWR
nv3j0ADM8xOO0W+Pe+By+VCa8goWu0AdcNKJC65/HKiOop2v4+3p+v9NB/u3mJMfaGH/O/BgAoKJ
cFd5yS88naYvX77GL/l/3ZmXb3+28V+dnP/6Bf9j5fT+cDBd0u5XEqg0Peb/Z+UUf+ADwiStxUoy
WSEn/0SZBH+wn7r8bdJdWS/X/Nd/psa7MMZseGH8OjoxuBv/EycnhQXL0V/3UyQQ6MtxjGIE8zXN
jx+XqyYqakLp6B6YJInSE6DD7NZrdd/tVNgTwzNNfZ4SPVSSyOSBjiCAwC/7Zld5sTzTF0v3rpAG
UGSp3Wth45ABfJLwv2hKks9LUgeQO30cNHuLMJKLpSLauNRG2nv6eSq6qbQukpPlzPVnMGI4yyuR
lGbDbh5RR0dFC8ScT/DUjiypovNGe+MDS4DhJZG5+c5rvcxkfIaUIMxrASLn2N+JrNkuYzB+CESf
JqcJguqylZM9S0L1UoOVcBlQHg8YLe6UbAaQ+3WN9WPWIrom/tD5wDmP5MasGaBqEf4DMqAhgirh
+FDY3+PErhbkEqS27RzHcu7LOHTwo4VF9Nzg30JT4ofzV7z73V2d5uGquCzxhaf12G+UcYaXOG0J
ZPV1QV+rdpPP6D7akwkhfaKEtW3mBK7ZjYV0z0J0qJpLzqxEVpXS3SjMCo+dK+dnxkd+R1SHJGGD
/R0kgw/PlE6Fyeg6zWmh93XrqWtZiPF6nMCJqSJHkrg4yXKjkqIXD5I9irgmZ26igxPUKvg0dAT/
zA1E+n0e2GgSljKSayaUsKp8k0edSc5N22r7FpLuSBRks6g2OKT4IPzHFnvIeh5huhtiz3xm9omX
EqQpFys+910MEqOsxz2/xrkkjLyBEewTzCkwERFh7MWDuI08n8mz5QEaT8e02YmQeBOnt6f7LrG/
p3Mz78sMGdXIOncmWpYAipqYWwPxH68O4NZhDpcbtmagAyrRWB8ckkozMaMexH4Aodsd0eAGvfdA
Y/U81pbA2QjTBrRxX+ydNHzgaAXOKh8+yVpR2bhMQbk/EPTpb6IozuVgzuMUlUcrt4t1tiO3q4Z5
r2jgXUdSlRcut819oWrr7EIj2ALd4tI1jQ8Yolit0PVF7yI2iCxn6/rYJJfQv6ZAaa99p0IWNhTN
VR6TVyFtJ/7mDG1+9CFyfko6DaNfZfrUE7pDtFYFeiSAEK1JT7rN/Nrbq7yv7sk9qG6YozKfz/Sy
X5iwrYIyO/wY5dND1oGknrssOs/9CBfM88j+c2GMJ0EV7rxJWRunSnFtp+qhIT+KA1OEGTeS4cEN
c2fvlAC90VOJzRDSShBdf90wHwZYEtNpSWfdP+ZxfTfUBmWLvZATgb+E03Pc3YZxDtN8mTvOKii6
NECHSku2MbON5uGeKpXMac96KMv6z75P7jL0FRsdYk/Ju64D8NV6BHPxlEU+vIqYnzDbzspnurk1
i5F6dAbu/7mA91CE33IRH0VfBnfstPafhryWDaCVy9r1epqaLgE5gUXOUTZ998rusmeAum1Gi2++
VgXU82yxEAZHYKX7DnmDxsmtCEpWCcUHgWHtVRqDoC/bIifyFqjz6MH4z2e9PFu870Oahgt1mdMc
4baN1+A4UIT71viAvvjB7cL0gkRiD09GTj7eSPy170xQgdRUfjBwPPfCg5LLKHi5QbfUO7u5mPQp
FiE8Mxq1/c5NpbK3jlNGu5lkvAFkmpyfEoJ5waWG400QZDVgcQ9AcKz1164x3+tGAYDu/eaC9GN1
iAU0N4p6GG3ZUNxpGCk47lp5MaEMfa3qkkQWalc+/AgJ0OkAipNRRrNUrql3HVKevZ4b/9MYyOhb
nQ1Ikf+yq979Yxf6L5I17qqk7Nr/+3+AZ77fnYAgrIoOmxnwWja861NWFfESYF8Jz5Pt0BHAPBbu
rkuq+bbFY/KRBCGHNa7CWTCqhvSm0gzlYwmxl+5JLr71AKPSK7qsQoAU0mgYJDGHmKP49hHvC7ap
0R49lLGEcTV7BryFvSl9EZ91XxCcM+HfJ4aPpJ6nFhY3idd2qYhQDtxBX9bJ4l+TRJXdxX7MEtXU
YYvUXoHR7mTXvqKLXg9msfspa+cKhWw2I+kjuEJvyO/x8X142BSCMGvP4+jNx571/RLy4nTIY+wn
i4LIxeQ9gF1D89yXnO0UhHMe+7B7Csh82LmgvbHA00jnKEveQcc5hCG0Jj18Yt/q/IpOPFLGrTsG
y3zyXUOuFaUf5egREStRuxPWu5OxZ11ceU7i7wkUjjZM3EDqet580bbSOecgepatcWyCmjO33k9V
p2+LuVV3rYojuP/zflGG+iGpiZsol9Uim4rqFhYSXF005rdISPWn0qoVMVdrYCDxjoe4K4n+sRmY
1nZMwlTkP8TaJ6sRh2g6Xw5B90KSIER6HAqSnvxNnb4OA1W0JfyrSlDfaBqdOyZS7X1sZ/jGKi4c
5w2iXFY2IJ116wSCJyF7UaPhzplk9B64aKu8l2Of3JB6GyP+Vu7dkMQnj+bsmW0lowfl5k/Gq2Hz
tvTIz4vXU3vMdTvs6whTDFaC8jmd15QQWb8CWNVbQ7LFRi9YcAX35m3jNeKBOMOvHlKF+wqoy3dU
LP1N2+k2OljEMVhkKRBwfPZ74UQX5QBb8Vs+O/Uz/WB6ZD5Zic4Rm7u+qZca9os3aT19CpaJ3IWg
sOuXGTbk5y6kynrQoSVBMKHSmrdg55rPQkXxjV936oYwUfd1TEMQc/XANCEiSfCVUq9F5u6SYlSK
Th8DyyZTLgadLovUfVDK6r4q1BebjCjFB1lOPZgaBrRHnfuw3JteX3tTbK77qofUHjIN+6ILP7q3
CRO7BqTKiYBs4W3Xj9HOdaZk77qW/9jQ6SDzQLkvnGoh6SAtiMRpJIDmIiGaDfscrhp70+ZWdj+W
DcHQjLkU8WUmS2wKoFUb53DgaPcsdhDusonYt4gVC+WkWfpmy9w0uoGMGXA5Zcq27yFjZ4Lc3M9V
Wnxa+8l/9pXbnzh6geuD7cRMpyZeDgyXJFXG7+FLzcHC6udjttuD/yyfXI1nI5szdVM5xQDyPwie
+5bKOSkc+iUmjO4Xi5SDjbJN+cDbyB7FsvDtNoCogeHm9oXrjzA5G0djEPeJbI0zINNbEzTkhYVV
u5dGfp5xSl3QeME9Yc9ZShRl4j3P4fh9qHvL3goxDCdhlwcyn9i6Rp3qY5bN0xe0WYT3hBOyqE2L
XfEFb+vwIOrceQ4nzwUwWgww5aNW+skaMoA4wi/UlyXDR8ymZH0GcZ3eJyIMXuq2mR6Fs7auaLpn
tPBly7mkFPrkpATJ7elBS2B/VdYfyFJyv/auk55qq+/oX9Evn/a6z+BdiYqmMUFt3fzF9o11g8IO
L2AZpvDZZBlml5aTNtdO740EiMjhmw3uC1lo1/qfqNhNh3BPWuqyymREpUEOwLPsxzlEdjklxba2
DJPRjs3iM/2j4kETvnUeQ6xnToRmER+OQxPMCcnH0gEnsc04BO0Fix6gF3sephzeblPMGz2N8kvn
1XN2mpwxfp3TiqK5CPPhuk6XbtPIEBNNnnntculzxrZJ8I4u54nl5YDqxPsG/FpchYnbX8SpNCQ4
Kbk8YRuT8OU6gRY0mqyPZavju84t/ddqEt0Djj6ajOstSfGUTSS8BBEPIcFcNB/9hntka+hNXWGY
EecErzL1z1SM0abrIriStK2jO6wDoEztxLqd04nF3rNjJHOkJ1vfu94psZMVYApx39r6hlwImngM
NYfrBqPb5yVW6pU244xHL5XNn3MXZWfRuGG2rRg0P5cTnesDYdgRvBXH+S6TYYCTjllwX3QJRvsm
8aZ9aA3ZsDFp1jyRpbQQJ1ZOxR4hiV9t2EQhamX+DC3SaidmffHSXbYmDW5pVgb3XJ/yZuwEp063
NZ8JowfbFaqy3DGPk/V2AoXyueiqjqgdv+vNlsAQvRfROJ2NY41rwFI67lJN+2SbIlaJNmk9VbeY
vpPbPpHRqbFU629G+JYnUyYgL3MvH7AlpxA6t3Hi0BcqTRc8YRojkkJX3kcB7v2VOkZVQJ4Tx9k0
oJBnboXE3Jh5mmm0dXiwZjM+S9t+GKyueSyGhkSgHu3PLWQHu7obsik+DYvUL1h/PX405ySjRnI6
N8SV7JF+t899o9rvU2T7xc4aK/+hsnFtLU4aPRFexk6UDbDxClPEqGg9PyYOS5TZgYOwdR1V6JoP
fW2R7UyHiZGBij+awZUXc6k6Q150DlwPkOBAqU3e3w0RdObW87E1kDq7wCwoJsJVnPbsuYP/GazO
9GA4bk07gf34TKnkRgcxqfyMBr8wB3B1xW7puTvxPs6Vd9sI5i87bAQAfP1hPtrNqF6GuTRniATE
/whSSsBnztiMjDMG1JM1J7CY5iTxcI013VlmLDZJrsevHsSyb1Gdk/fcp35hMB4O64mVdeKFcpYs
b0p4b4umn5zg0oKtOOnR41iUzk/ks+ZiwyUOEqyQ4PE2qo5hfcCm5Pjb8GCTsjQsamd5fnNOl757
dHSeCpgQE51tO1dldIxw8xPk7TTXvuVMxJ66q3+8n57rSoXZbWEVLvewWdfNOrFntWM9V2AbGFnd
1UzHhj0BX1VynBqHPFrbqxa4F5yKEMKsqZpJPXIz58GyqZsu+rqYRV22vp/Ze2wmCybDIsoigg99
vIJp3tgwl8N5vhjzwYrOQG9MvMc7SvZRwLHN7tPi40S0x586G/2zbQXlJ62z+Ckoh37eDNIej6Nt
iXMlaKi67tQT1watc8F1+T0T40xFjGwS82tR5uT+tP6wm4msRmqorSNbUrNjxkAdZ1OMFdKjzI9o
piAQ8/RXB6386uur9eMSCJR/kiIyCtwLD13DYc4ZJIEEWR6GabZvcrozO2mtUQthO83bZEqr+9YN
wq/VUqOX16Z5yO1pZs9uyaCD6WlRL3YquV9oSjEoj/NPZC8NN3nmTI9VTYw5pSM2KK61fZt4KOyC
sg6v29zWFwMP/OPccfQ3Vj6fIm+CMJVM5ffK98pbLY1+5LbnJJw6F4KuNlmXYfccdYNzWbhiufQW
gYJUq/6MOh8OQ6fKo8wIePL0A2dy8wHZdnMJaAH9T6+qU0aY2Webb+41VEC9qYH0YUgcswsXkV3V
fZnctd4MHxbDKzrmItqMkj5DG8rou+/EH0NEfydH1/vC5AqVXTBCm7UiwqO1uYJF8DkgIujYZO14
DOLA7BkZ4dp30RvRNv8UsGDRXq7Hs26Tr4KIn7VbAWzNpKTdKbAhWvYXMg6Tkxt1+WXop3LHFDDZ
RmLKv6AGLq8Xp8k3Achf3mTenhCwdCdmuN7O6vz0wOdpD17iQKOHt1Wxef66jPtJFWFDYkUNj9BE
OGDu3HfDVYvltxxZSM5ySCTHzvWU5qsquqnJVBy3mlto3qJEEJu6V2B45t47A5YLf+t4+2nQjc7c
Rd619lb5h/LfeVNMH2IoJRb2PENMT4e2e6U1PsIGGiBX3vqwN927zMYuvweEMt4PZC+ZlTjRMZ4d
eL5jZ3gaJ6npk83SRAcS4eifqVgXzYtLuqOzc1pLf2pw4d4xVOfKuyp/9omCpC2xNuSKcRCvXjmV
pM5QNX6i/WGBA+nUgxxG66uJib/CCxx99GzVe7BOouS5S9Rqhhuc68BOaAoAXPjkm4gbJYmnD03l
plBcsP7s58XOLkEPmB3xuIqDhIpuR2y32w650r3nFTMB9ZO67vOI7ZCYiIOa8mepKvtDJ6MLbxT+
Vq5NS29tXxKsRScTZwgrpIXeO97TctX39VvbM3prgSL2sr8ThEM7QDqN983zXf9u0pm5JwlQfEJI
2DSbBhAN7a/1wD51uocvFoGPTRigfITTw32av53uxdtJP3g79U9vFUAyZPNXXRrWTiZgt+lbnSC6
Sp1IsZ82HV5JiZRsLSfoJrkvSBhyYJqBf7ZC+ZEBSX+uJxOhiufCZ2RpbkiSrVa9AjULWgTKF3+t
ZEhX0teY7PnjWueE8dTFe39hf06rGXaHGKmI1trIX6sk8ieSnakLfZSNoUe5dkS3rCbWa/5WZE1r
vZWulVew1mByrcZmi/Z2A6Vi3tLLoVyrg1guDy508M9a5vUL2dU23FZ4RNMnbEFcJF3l+qZbqC+P
o+PSC6eRXj+bsHbLb1bs9sk+1n30vVPYlu5+/bzKn2wZtFsgFmIPlMwnBOTUH4cCfemmA8yK/pxw
1rqurSkCXpOQ1WVUdoaN658b3xTjNgRNu59MdevnVXgFLxjPquWOOGC7qKGbtlgR3FKrJJqvyMZ7
qp6q3Dn0SZ8ZWdcDsZ6qeXBGMA+1JP0zmpMRV+50i9DwdsQrDUpgFMOVwFDXMVCYwq/oPkkTSmr3
7JJL9wHS2kRL300vlCseahUjZQzvQNRhzg4jBBkqPAg7euAZVze4hK8pzLBnW449sOLZxKPRryMa
zTS+e4qTRsPccDmgsnfYp6H28jvXTe07VQm0fJWjo0ekZ+UxAruzj6YeCHWlqpHeG0ysGxaX5s43
LUAWTjLdTtNbJlYEROSw11OeXSyNXZDJISA6UIDX5Tevb5FtZICZCaLt7iSh909LNIa7SqWkSekl
3wW4Uwu82l74OWaq8HnSc1Fux6Iyh7DL4mOCTT9j13U8ZhZpd0i9OTqVvuaRc9zR5fMZ2AZzkQ7f
ijAI2L56OzxSCZfJbiKGcxV6IjLceP0QnFzA0R9I5YtfC7g/6C6jZB+GpXU/0RmhU5AQzpHo4SJP
UUZIOxE3tBYX7koOnXkaTJeIZK0vASy4Pb+uYz7sl/dZkq7hbrpuPtpzyBOAzXQzgBVv1klODKy+
Z0tb9HCYcZp9HqRIHokYk09NivgR/60db8l3Z2maxvTD0nbRDhQkDG5Wqa3jATivmDXgBgFg4sUi
/VjaLYYY4lJQvWMvdS4SZTugqjs3vMIiZR/JLrN5roNUXdVF9UCMM3ibnAYFEHx2IsRdzgfXMtH1
uExE2xtj9+EmxTLr35XZGv1Sr0Mk8TZPEt3UL9vwbc5kryMnQ1d3zc1aJ1EhSccQBpI5BbBUylfx
NrUKmF/Jt0lWi9TlwADae8rfJl2ltCy9QdW7IhxYvcsdq1v9meS7PDkpZEvRDcZkYsnXfeyb048E
catJ+g0HAaZt6TrQ3tQGGPiGykC511DrzNnkkO/GUYszqqqOc3XjUFz3AbFsG9hUWXpKfbdl/k0D
Q+8MQbKXqlecJ0iSpqc7re3dTIvnxq+R9nbRI6Cw58SsD4hMmQx5yUUTLij4h8A71KLq13cN5oVJ
6eUUMyJqrUqfiN1qX369UDEg/XF2CQLQx5jkOBBxEa6ts82/6NFJIO0zWqLeOYiARwS3DdTqevjw
9iL/0Yz73w6wf0i7eqwK/vM+yuN/44ybM5CP+4ep8r8fcrORvXRd0kYv5sf59r/+5X8MuH3nD4fD
HQZrX3k+Yl++hn+Edfj2H8i0AIzhZuDL1utP/jnhdv4QNg5puGnYQjiU/WvCLbw/PMdffaiMbbCc
eeo/mXB7b6Tfv0y4HZcKAoN/IIFFMux+L0RGDQacKB1AyRHVLA+TaA3DQ6Yn2zlgeEoRSaGxR5ZX
sixFIfA0nJP9snMmOVnrdoAgO3DlVTmKbFP1zEU2fciETnte/pAlo/WoRRifo4moKbco40tTeHZ0
MNojQhyT0N5TxDC2ZRt/o/29xJBAcj9GTIuJLJxoNiOZZZUJkd5fRqJ0aLpIl8gFCsMP7lQVzDaX
h6hXLEw40YqiB6oycKLpE2MuYz8ot5OvbXmYq74nGHCKmJR5+Uy/pETacsOwBCZ7ny/2Q6iT/FlN
U/RQSTZi15YAVvw5uqanSodptobllWaD/jKBgqHtRIrLyGgKV2K2pspSdhucoATvCuavzLWJh2rb
/LZesnRfgt/YlHK6jOyOJlgR4z1VRrL75tGW/MB6x+hfvK69VcY0Vc/IFrpVdtXEbvY6uvS2mfbn
wbeosqKPAOdUTIuHxZu+pSXFLpJDues0OWMBcYgbWyXTBtOrvEj5AkhgoZvbcWi5ZNT/NCclemZP
ToyFFsK/tnla2tV2mZqSA/ySqZXA5F337pi+JKVT/GnLENKwGWZiwZpyQI1kB3N7RdnbbvCgWBxD
igUpajB00bR1S1bPyFKMw6U7Rtc41oOLifL0cwxyGBQlalUbaF9CLi6AAHfL1CV+JijBiegTy/ik
Wl5HzKocUDONPmi8iMiXdacuOU9AZUAlhSD3lMd2/43UhzE+KAaMpz6xCATvvVlvZeT+N3vnsRw5
kq3pV5kXQBm0MBubRSC0IINBnRsYk5kJLRwO5Xj6+ZBVbVOV09331nJselnGIpMCcD/nlwo3Qg+d
41k+RB8Tj3zuEHlcuW7tc+T28impkvoDoRd9mC6sfnDqYh7FEGCo+RSlo95lkNTG2sFzxQSRtc0X
o4eeX83GEgqSZVX7SGJFcLURkUbruRmDc5bX8lomgrHerxKDVBsymB58t5pepI3Ag4BdXfuO9tOh
j8AgN8/28vKri3ZphwaEj9dmMD7JqrJKqMaS2Lq2o45rPxKGTwYARZC0yND8gSmZ/pRuAtBKxvEl
cMfm5nT1fLCManlvc7EHJNOYkRqXWjfdCPS1gN4X1I2Z+deYl2v51Ai8yG6LQuz1lGC6jT24BAI7
qXst0FuXLC3FpL/GQulvzHmWotGmnhcdB39Anxmp3lnKp6rbEpj0pd6OxgrnSryfZQJ5Fbnfo8Kc
36lY2xgEwFrlaH3WQ0Auk55n7VfHm+CG2Ymn92nIiCrukwmvixyfuKCbc0I+6T4nm+RYEb9ELinV
82HspcVGwC69ztKj4iWWwBwmTljgya4+evoMb21Be4QVrAGrssWAQZnDHsnfju973tRLUt7Akrpi
HKbSWSCWnk0vegnMjCYccmgC5IaBG2pGLyFCurYR4RiXYk0cGh5be051I0RBXNYbk9aGMjQTkX7P
+iZ5nr0kOek5ueob0VlmsdJsc3zTeFHw1JoWCuVciP69tLKk5RXpNANd38yrPZeOuCI0KhUptxkh
g+XcAD9qTQea73Cw9L3b3wmRK8aQqq4PXSnlm1zqQ8CuvuVEMLEetZzTQ1G4pyTIl8aHXgMCnwPm
ys7MEM9i4l0FBH2+2lHcnq0oSd6NwcvooHbKedOb1LTwwJKditSk1CkJFbP3CXFS7OOy+9RFaiPy
qIb6yFXiUDAIQPfN1uIl8qjt4UCrbhwvad/HHVmasXLW0oB+JEu295OQuC3oVn5O19v3tN0R8ZXF
hrWm0kx+VzY1ZeFIfSB4GLeMTaJKW7biGLlpBegImY6HCv0m0u0i73YIZ2Syr3E5b+3U7fR9OVeB
ZNm04pRlwHUEKAFaD3563ZZrHk3xY8KrftS72lwbEpBtxQbL4RQU1WOl8boh2EwnQnmFeE89CFUW
St8nCrM1X5RXA3e6IjfPelKbz8Cf4g07hH/0Mwoe0QR3MNl+E1v3JGdW9y7C7GehPJL5gszl8fHI
S7e2qjHyci3T4aK8zkXhPNnxCwosvVxPtWf80AV5Bie+w8RaQ6DDcSe+8t87SGgSOOhNvPDeOuU+
ItJlSdtw6D9NvfY8lEF2R8usubV8AzteZMK5Tlo7A71qqZYQWlsYW03U6TlTkfeqMn1cFXQN3ecZ
iciFKYjOG+v0ip2+CpPZMK54SOvQgJp96WM9f24Cq1kbqn9vdM966kCDrjmGxnVPG+JeOKX+BM6t
fSf+dIpWZmwS/2bV1oFiFQpV4BWip1KP2T7q9Kmude0a1YpUG1UtFepJll+1zESPS3FdT6BA5VBe
S/N6skn1CusyXqwlVc3LbPJGC39anoTCaj7Q2UVEPfYxaKOX96Gc6xEBCDVVbFDwDcU4fxakKq41
isFaaO86ua/dQp7LZvA2zeimX9IOloV0/N3UB9MuSvsKmK1MP6KeCtzaH/Obj954pwmkEc6QVFtB
jRmpxb6p/e75Vn1igVShA2gvnlOWX4pkmOGiDHPyN3qR02kMPrNoBBoOF2n59qFP0u5JzNQrVlqb
XIJcbzfd0nhTEn6SrvIaR6IubYusI4PudCjKJ4er5cHWCovizHHMI6KI6Wep9VF+zDA+F19SSbbh
REgOQx0ld7E+mI+63TdXow8yVvaYFko6omCvnYT4hsLOjR3ogbnL/Mm/AxaLO6K1Ih3eQE+Ki5uh
bobsjd574O5b5xnBj1YUlsetzCgR1klDNY0h8g4gQLVaEzpxXxXXdMLBuHLAy7i/S7yfrexSdBYA
9q/mjCiYHae55g0gBS5VTyAXlIb14Q4MzbSBxsmLSxx1ux0Dv9YwAFHEZcfZvJb4SKOdlXhs9pCB
ajwQpi9pUlCZ+zrg+nyuynS4ESsidl1eGvejmdADjpygo0FC43jAHxDvXLrP3wHw64cWM0BAwXeP
9VKQR+omOe/qHJfZ2VOWOuM+GdHN0f/8wAA7gtEFQ/KWEGYTk/kydBhE88R60rNJvFpm1lwDyQY7
ue185/cu8jyuLXtaOwJRFQaLFOWNKr1vNcB8ucLGqO40mjqPQVPpO+K8pgHzdkfCt/Tcz3n2OwOf
la0+uqRrVIjFWtvYqhm+ZibAwjawYAhG1vd91s/jAwnWBhGsy08pbI9kNlsMIObek0Wt7WpErP7K
ywlCKtKqufpLS10iymfa429FUgJyFLE8B2Vi884SQYTlYqAMuoQfDkHlunWFpZCKo8gNXhuj5QbB
7hnnoWsjxqbI3LdeaOgW5wCHx42oWvc2AN1cWF6Ks4xV8abRs5WFLkLVT5Jzkx0Fe/gZJsyXd5Pv
DgOahm764qdKV8d6sga1zwNjyI9JZRpk18ex2oPiO59RQVkJWRqITSoYQhxfDSKUldn6wR25rvQ+
cXN9J7vS/R7HUdtvhiyfaZWb4dmx2vK3XjmDlZo7sw7SZ3hvk2byInubNW2+wV4g+ALODrjbkuHF
AKi5ecos7mCS5uucWh215svl20bZ4gCbESyNcXRTiZJfp9qXFw8u8qlFzEAgOXAkBdruRwJxjFTC
9hNrQ2OnFwAfKwTAs2ndI2KB4x/jOFklKarNUBZO0BO0bOf5vu+zBS8QkkND1MgACyJ63vTYEKh0
RCdbssnbcSV0vfm0NdGRlNmmF+wS9UNajuK1pbfpm0SHvy8IEX4ZDF3N4aSm+EDwp+y2xggWGZYw
DQctsGftQNiCvje9FIgK1YSxclTSfUlYkovV1Hb9OU2sstnlrt+Rp2LI7MxKAKHSjua+mXSRE3MC
5Gc4CXOoGqhDTPqqadZWs9QDZjStYT7yNP50eGiOZZnR1DsAjBRLEm99RdYy7+k8X37BVp/tiKHM
9r5TId8aNcO8xTyZ+9Fwq69+PZdfli27419ArrvubUt71Pu2v5aF0b5iQFcHYpNLRlUu/JDikDls
DOnwkUFnxNDMmhRS1ZzrIKb1Daq4jsK6qLOPsi7ItTW7NL6nlYwfIc8bVGI5BOFDH5Q/WgAji9el
3BH6lsHZIggnA7Kvw3b+2bExGRDKdL09YdsJbpOZkRPpzybp+Kp381MmBgaSerDkUaaOb67d2baX
5ja32csOOHhwqlRjNU2y5VLGD7NvO8mfhjFeLwM0X87YHjtupI80dyc3rNJIRiuKM7FqVMghaW3v
umhYmQ6WlJn0bLIupJssagS0LSs9dwnbtpOTNPHttfkwfyt9w93O00Q6LGNk2Wy8Pmn9sHDz9BDk
zGVTnNeXuP1Z4IkH/EHQe/RcOstO0flOgdmeWzzEndfe2wQ1nkuEm3tTH6r9gDjkUPUqEehjy+nF
Nl1T38ES1AcNQfmXrvVTEVIjVlwqhM7mwWpb+ua8fuoYAL0RvO3v41T/HIH6C0j134Oy/l+rnLUA
if4NlrX++NZ+/F7B9QGe9T/2H8P3Iv3VteH9/Cq/g1qe9ZtpYVCDJvTsJRwTCuSPkne6ZA0bbxet
tNjKzMVf/Q9QS6e2FryLICFnQbvAK//h2tB/0y0TUza98Bg3MFf9HUzrF1Mb1hDwCY+oNkoF+Ub0
X1jMjItvsqIi2oyII7Ns2rl2sjWkST+JvfvT7+mfSHB/rfriZydObTGoLdbggP/8K8Yal1pDZqCM
qE6pmUOHmyrFXubetsJUx+71XupO2I2vgbXVvPk+Lmc9TKw3GMaVyWk7FRRr0kD3X3xXvyC/v39X
lrmgv3x7P+06f0Z+oyatA+Ilok2TqE2Xi0Phjhx+prc14EVn1mNPK0OXBmt/WVJidA/RMl7Hzc7p
QttsfgeJ/2UFFlqfv2LRy3fkm+wfDkSTTXfbL5RZmXiNRm1CtJFzn+xgsw747+wbMvnofkoS0tAd
DaisGAh4n9yZHCri/brZofkrH+zFP/NFayvngYa+Avjdj062TQekV22bqYfQrcYv3vRZ0AU8wIW5
dXVxB7rUR5b/gZXZIdoNsQ3poZbU2dhJmAWGAM1YC5Yl8j0uutDWiGa2jV2tswIuGSUfs/rR1W6j
Wd/miO5JRBxMVwgVFb6/nsQnyiV08xi7MEaiPkvX3HOOrkT7hsb+oCUccMNXrTqhqIduGq1jQ2Wq
aTPhvAz98Dr0OV0wioisZvIOdvdCDxF58qhIB5AVWlZKWcDjxg8zHI2X3RU0QGLRD31HEUwcHZ2E
IhYKw4OoOCtnfCyH6mhZ3naS1t7FG4RfsNuKzFdbDX0R98TadOmvSbAc2O1lSNwtlsaJMcS3+TeL
kdbcYWuJGmHvq+sHRwj50KsQwRUO+yfixXTYIqHAlloz2o9hXEh+PfwzAcOjGG916+AoggrSrH3f
ueVqHoe1x65qZu3aEMT335uVOFcoCNPU5y5GOagHx8bmzRzYl1iRtPQxZzXS2jsUu1s0Hh8DIbO2
/VVM9RcpPxGwY5diu4fOYGEBK76mbbX3qe8ofW+LkiuMI9nf6YHTPKZd9CX2Su2Cfcdee8S8aE1G
6+WMRDuMebTMLgquqITrz9gSUbpqGn5pMK9ZgsCz+C5RCz2Yc1x/BFbqoRUEEyOEYOnUBND2RvvR
M3rz2c3N4YD/qn8fhyUr0wriHYp1dIY4tuKXsskrRgArWmHVwQZi5lgKVhEK+kduz35ruNJbdy0y
qlU1YgTju3CnD6dVxR5cpickXgzxJRma9AztdO+00n1o58G7dWYptv+5JP87RZWwLzz+ixzmXxM+
d1yNSy/lL9fiH5/3h5nR+c1E3UIoiE4Fl/uT0fmjmN36Wdm+hKvy7KFO+dO16NK+jtPRhyXh/rNs
XBz/uBed34BmCSkhe8F1+JLe37kXzaUW86+MIKVOFiIT2t7JPvF+DXmlsIThDKHNQaWguZX3AZ4a
8DK25V1iq+icFr1DHG35XDe5u3ZoT9gJfSo+JtvxLpkvjdUk/V3mkLuXNCM10zRj25X/HBPtRBdg
QPxUv0SUKRCbkU3yYYDuXY1AnwRq9sWjTEA3sqBt935ivyMwAjtxL0pyIvgOkg3i3QlQjR56jSIb
HCwbPY8o/Mii5ymJ/C2izmLllc65BOL98FKj2A0QSLLG95f7wXwpyplbY+zKVYHPHJ+F3GOwGLej
HBpOIX872z6WJYxs1lqUTAcTgBlB+BrSrvFBJDa158E37snV2JRnHIAbJc0bo/ipbps4xAATkh7/
wzHS6aglUUZ8Qu7POzNpH1N+t/d1WjIFzFqzY7l5nnTKqLXx3Dv8MoOuscDf+JFTK7+zK7KdNUTw
VSMultPLEJCv3KVT99mYar6LXiRnzkoKOoaovzzaRlIgk+mQ3Ks1JoMN0z5pOrYIDb/60dlEsAQu
WQuWsWarJu8/exJBfEgaWptbD6sB0fUrWEjUPnO211T/oJnOgMteTs99OjsHyys3TW9O6zSvEWti
Upk8Ee/LOk4eyQi4JdbwNXKUx75iF9tpUj6ZTKV976CzWxUoMVYqwgMIsEJpYoeJG5e2czDx1TxZ
ZX2zcmEnKzjqfp2ViXrUi2hGlC+7Zkf8Qnw/uZegdJ6puCCNOnOr69hqWkiW7iXW7fskm9Z4a17j
QqGjABPpeia5bGzPcSsPGsUzOrvDGFPcgKFCOSrlTyXv2rb7kVePyKsa6pkDa+94TREq6sewdW1s
YBcdhzjgjqXBC1Jc1pjiTg36OXfQrFDTt/J9n5AIdZik/hyVLyYyezq6SDeZ3OXfzg4CqKstGv2Z
fpM05O52MBJiyNlWSSW5kkZjJ3BUVY7xYaPWPs1AaShBLlY+r2y9PHqRuFqdj/spWyPqv7VzYrwP
yL1BOet0Y/eB/xi4xIRFNAKtTOU50Citdo9Y3bkiFMe6GWDjq0gEQZAm+hOlPGkXSuXA4QirOVqR
VKfMbn1uFAG32lfxiY4M/1AZbX+girJ4zSxKEnAiyfScmIl+SLK43SuvjZ+khyiNR1UewPTUOyIe
0ozFWF8T1xoOnlcVX3IQZXTaBHYUeg4s1FTQD24dnHDXu9xt47jtDAPJvDZPl3Kwy6e5S6cnSkr6
Y4b54blkANqKAbXgqm2C9oMN1lsLIxko6AicS+DYzZnpYHzAqmjdOcbcHztaO96NrOgx3uBqopbF
PWGxzA9tEjj3c1sn3y174uaUdHN+I0OhHNm7+a0jZUovWROMZycqulMRwcGhnRn0qw+ufButQdzR
7WKcy7xOnikFCy4iQITKo+KdLW3Uz8wKHaQnIhCGq8bbGQUYEftBvOze6iGDk6z+i2He0rka/nRq
+wvZb9rwThzcLh1kv4bv5Hnn1ZacEUDHcXHX2G09HDI5yDuxeAP6iFztxhjHlTLxPxljPq9HjCxo
qhDR2l3/7A5S24KuIG3xssWaKI2a2oRU39KaJkMsEjFmqZ4YWdJfnatb6dmp08s7L3Lhl0UwXxvX
oFc78ouLilFY8iQ9O4jGUbIHzp7o2zIkqMFZJcp5atskga4ay3u3jwl3G1UfPTXjaGp01SpYIunN
olonFV94RQE5vRsuThOiP0gICmUaDdNOL6m42gwovd+xPYl0zQRUbwCRqmc6RPx3ooCPwIa0eJn+
rffAK9OuCuH61k0F+ys6r1qnekFqREmRrhXbe1XilO1769ZM3Tlp2seo9XzCa8CRhsnB2pxOOLmj
lGo+yF6A35mkkUyFRlKe5GwPp6itz17K65+mCsIBo9pYpbD8fcss7pT1Soxu/JmA0WCwGu2thhOB
bG3XuatRN3HGQAV4SZ7dmtmN100fl3egt95CpvIozR5P1ay7+hkrvXdWfSbPBOsGl97Rk+dEj81z
nLriLmf1vdWGq1+T3IIzIYSxO/G3ns5YE9LLqKOFRl/M8+4TpffNi6vBhmS3ku9ELyGEaKNp2y5v
Ckine/KXt8dc3qN+eaMK6ePXiSbrLse08tCIVJxtveJ+TuSAFpmrknhbSWxViXGBoR+jzPIGB8u7
rC9vdQTl9URwx3Qh6SE+NIM1bsVyDpDGEpzUPLqnxq7zcBDV8hwI/xFFevElXU6TeTlX5uWEsZez
xllOnW45f+blJEqXMynQGv2Q+wapkLHLkTWR7PPa+nN/yPJyyVob41PR9Uk4dK7/kRWmOjWR1hx1
JLDXpKTUdcm87U8MIO4n5b/Jbsrcbstk7V75v7X7XsQutBdJhmmKaCdUvYISoggCIl7OARMK2DQ/
th/kMOem42UjMkkiZ9d0HbplaMRWq0iTA/y9q7zMD3VHOASzeIGc12YwgcfiKcbaXFFK37xCE7bs
ZU7edKSCWXm3r+N2iM8mawMFexIN/arv/KHfWEVFEVorUjJL9VgjaMxPEhWvAzWJmGI4B6QbDyTY
QmtTTcJrkKEogIO+t7TBvPjx5DxMmmdsC9iDTZvZxk3OLRyuxV6r72hPLIqN1hrIFqOsDrD0NtHX
JRGL3TBAcLtqvTnRNn1ZMAENWEeK0OPYfJsLmkcQBFYGZ4vKsoBHzBAGqeidecvR0gmq4R68CPR5
zrJxo0vV4P6t9pKserSY3XM3nN2ZsMM40i/gus3FpoKLxUyL8CxYgLBtGgEdAzgaEWJjGi6ndVk3
48qy4Z0pxvxCtM64Vdn4ifRBhH5rEUSgzGuki/GOukozxEv1NfW+YgIPjsqkT9AF2Qcm4BqwamGv
Mk/feUn9ABZxy2ro/6nwr0YEf5WUnhvGJQrrHm7l1IG67lHyklqcWkd48ht2P+68FORT4/7f6HPz
WchaW/5GmK9UQxlgMl65zp9no0l/OJjpDrKfh9VY1PMJ3T/4BCbtF8PX1TozhPoR1AR7hNT0NFYo
207PCI1Lvfg/YOj3v7Hn/Vth3+WjSpu+/SdrHp/2x5pnI8HDsQFf61CNg7XwH+hnAPrJ+hfQqfIz
wcv7U2iN8xvFC0SqYvIgSQ9d5v9Z86zffAuEjK9ogddZLKL/63/+BVwj/Ocv//3nWABqRP4yMHjk
hjn8M+T1Bo6DrtBf1sA/CT8dIfHFYfreZ21a7hX+7zBOg6PdzWhzu5ggfQyYTzmG+p1NLF0YJ/P0
XMqOZAkjfW3jQFw04c+3OCqnk2eOw00ONn1wJcDLbDDHjzZpKlOtbx2uArFK2giA3y8vxOkeZIuE
3O79/kSN502DfwIRmpKvjsbM6yD0Cc2huGZ+5lOJnBFwtZKughAWPbcm6yipT447PAWKFWOKYHDn
UTUXzqwpgVFVekjMf81lGWW7tMm9vQZ/4OwDGUyP7HXJW9o038mmqLx13FkkZ0xp9iVFyUcMg77H
wniXQUIhfy7y04hwfi0tFCKVrX7oWkWzUV8JqGeU4RJfxC3D3gkU6OwVmpXVWC5JHanDrIDWiWss
pRQ1Sd8G7pFVRm4Iip+K4GUp4YxHxzroVCu+oNPDTan3aB6JmuHeM4N8xY7a3PQx+zY60saCEZEi
mSjiPwxofZy6+pfSmCD+qDQb6PYl14AymfgR4VLYWaP2OPRe8TAUrrYrRieq1o0d6Q9YAf1mZcdj
UjDNGDRDGcBILNkjdxhHaU44xs8JNV2G1Qj9JmZGuyRDBFxtTVslAGbRkLtyaDnZT81UdNk2ms08
Rawi8+g0U10/bBNfC05DLfvXzmwj6p2FK5NdoEj+FJ0j0K0Es3DXg0Nm5AosZIio38V1vbJLW/90
hTW9VFh8BtTn0qPr3RPQnwMdhVh0NBVcyTMmoadEhk2xX+A5HJcjQh5kFRluH+m2lxl3GyrKOosX
G1fEhgjJZKw72EIUc8UiEcErTbn4cO/YiAweVE7aQxhkkopA3fYKD1bWYOANWgbnW9Z6ERkHCqf4
kScMnQXVbjHCA0+YFPiNWOeatDx5bR/Hm041bbPjbpT8zVXqHTuZM8qORuuMIUkSD4QFHnA0Um2J
boFQnXzT6V25HvCAMYt5zOTWna/bb4X0rlO2VPqlusnk2+6TjiXZafVLQdvpYp24Dcva3diPWE42
yrDVXbqssSWNhGMvzllMY2le4/Wg/AKEo1ry8dGzhF0LvYv2jEzaUpUHNDzWNVWW9p3HGWELkD87
D1QncWyT/6DrBE7U47SCq9C3QWk2a37UH9b8UHbDWvp8DvUfb6VmZg9S1w+k4aTrsW3zAumTDYST
uSyv2jc7LXIqwLQI1ENefVetpVKSyRiT0eCgC/yJE/RW8lRaQ4JH34PfRdWyFwQorFwX53mg4HyN
spahIpSGUJJa+7Bt8iqEt8NQnBClUY+rgXZJTBw6UHttrT0s85DMgVUTgFLVFz3N3C+Bih/NAn1D
SjLIboxoMB/6bJvbhb82LK8LcVV4n7M9Mw4ZamP4kzybZoYZOvIPCW3N6CC9R46+C43HCFOFMjES
00KBslhlRbG1yZjYiaDdlY3f7+A/vhU4QuEu1Pc4j+6tZEQiMBPBa0v/SZsH4/vY+fnXfo5//AmF
/CcUFOLmvxz3y34Ip0IrEbwZedKe9wu3UjUTiTepEey1mKKJpCQ4M5gLHOnx1Dj3Se3ylmhzj8PS
wUV50espfSPJE4xhGgZoEiy9Ceckid0uzAmQeIZ0djHw5C2yBKB6xhgjr+FThly91G1lfBIixfts
tCNpoYAqnlgBvbXuWqFBMKlobodjbiQwPUmMU+TQGg6HBQ7VE1PiQBjwz9NE+3myiJ+njFwOHGxr
iUYOlvJMBmXIg6Slz3fV66RJEBCU3bpMA4LCF+wdWiE4ppaly4wWHUgXbxt8X+cC/+5Ibsm2R88H
dDicCYkaT45encwsT05IpbJNZkIUEOCRrLGjosqoCBMgAeQ2L2tixnF2dqvI2QlhVmtUzVRe1ylG
6gkVUlWZR6yH3XfDryts5iymwiK1cZNLQUq9zI1+wjpZB33ozqmiP27mbXH1rOXphjBlv2mMLH9M
lTTGk8LEg/56ZHemKXwzBaQRwkSVa6xI1Uuy7N4QDiAZrONp3WYnFRv2lSgDRKN+FFfvHArY+IU3
bx360wlpJqGfP6jI7gnH8L/FOApJ5M8e2qI2j66eEiCHzMm4gAXmd6xEjJbd72MmNavpufRN8BtW
hXvyMrSdNyT2px+hCCLKsrsSpRKtai+OPyOR8rYSSNB/UQ6n1+AP5j2chv6QgtESUmd8tYvI2OuT
LMFnHUGJV9leC7AG3M7mrihrtWNTOHLbtZirtIFtlBIVd2opA8AaH0LXpiwkK9Gpc9M5b0k8Txt+
c6/k7VDzk6e4wAg42ZAXg+ShMZ7KoKspYpz2pHvRG1ZQIDRZ32LdGLeu0D5p7KySVWUbuybpjhaZ
9HihzoVpnGQZvUaxtSZj4oBD6GtqkPNUB3f6MIBq9r2zneb+W5lMxl0urO+1HQf00Tb2GjFEu/Un
zd/XRvdBfIk8JgsTJd08+aawTR3RU8uHsjbVgUi4eZU1OMTKMieZcpCfDItQj471bbBBeVGHuyGx
0P66NNL0ZBM/MpMusUNrbSBwCi5ZO6vQyntzU1WaWlueUW+pYotC0WNgGJx2Bn3rkQEPBQmknFYo
bjedD/RJnGzdyO4yI+Baq1mpnWc3oJOT+djG0XQpDCM9mKUJVmIo5I3SoJx38oyH3KkkganxBote
esAMXYQxGENBRyymJjdwzHFlaoX9XRINsjF7o/lBYSgKodyttzYiKRhMJMhWafLR1InXmZVnOzFO
i028NxVuPY+Ab3dS5qun+kX50Zb6W+qk3Qv938heacbNfuDdJsuijOiFyxAXL2mek2x2iI6TGD13
W56i5Y5ul9s6/3lxNz8vcbpGudAtr4jTvf/zoh9+XvrzzwFgSSsii/3nYGD/HBLcZV4AHOr+s239
nW2L7eRfs2qX7zFBoR/q45/sW3ziH/uW+ZvHKQIFZrA6YZTnI39YqILf0BSQdA9k7f3xkX+oTdzf
kIHgaAqwVWNzDv4kN3F+06lEwvPEnsaiREr2L/vVv923LBbBPwG0y76lL1ILnVhjmy9m/3IB91GC
GgqsYN8GrR3vTYE+C1fEPLUrI0iTb1NeFEfQg6k5oI/oH21D+fHGHY1s3sYB9Vgig5OrOtdlfHNz
IlnKVONmdUYsHrtSS6znZVK+ROOoo4bX8MJaTuVaoUdtSr+ybTsL9rKufXpxlC+as67VePhRjoaO
E/OS+BG2ROl4XPm0DSzDj6E9IT0XJ7/3+jdqTJDmZT4KPkTLoaj8m849QhyZfqcUFz9ZeThwcjm0
n4J8KWzdlsSqyw8bn/WMrm6QYGM+Owlj/nq0QYBlX5CuPhfl3uvb8l6YqbmPHH9ax85s7VWqWCBt
+r84yiaiLQvlPoyJFTz5deDvcJKNl8YvgjBT5bCyAkvfWNTpQNxh5zITlxUSkcrLgEa7v0X11Hgr
IeubAUKIrqBJVbmpERrpjHRRGh/HahwekN+RXBNXnN9nkXbZuIv8YaBGbyyYPoNKTDGGhQjEEfMS
Xjdysdh1YkMhRSsGctUeZoMMwPs2xs/zYNg6EA/dGVG7zzOtjeDafGM+9Do+q2M0jAFxEVlkDBus
G868ZeAt3ga09s4DsS74FowZcokAGiKLIavMXK2sWQ79NnLlsPM6Pfmm102MLLwpg13V9saLQ1Va
SzJ1HC91Nz8C/MS9NoqrWfnmuW4VLjpL1/Yaipc3YjqmFYmWV9LWGerE2HHPTyXEUzuuSyXSB3Bu
8H+dWvCa2hoa5DCP7aRdyW9WOXj72tSSdJcOc2qsi1oXa6Lt/CcQTyLe8EMw25dp5z9Sk67OI+0I
LIips05lVzx2OUwDKggiNeqKMT+26qPusVvT1hVv9NQ/ApovaQzG/BSRNLQdRO0cF4PRKsm0HVFK
+n3s9yFeKvmo7Iz4AMOV9xqLHrpnrDi4eSF3yB5UGA5rZOErgX0+3tXaWGA7NBkjMhhnhafs3AoG
nSXqJH3iae1PNcw8fUBmDZ5KY3V2UHE+NtjK+jV0r7sqmrg/xMOY3wfMPe8df1t2uDoyZEhgkULx
OU5YEGZtxBXfLvEopfcypWn5IFS9q4ng2YhAn18wlKffHFMbN63vNY9lH0tAxj7j956pnZvF4t0L
OpwBDOaXplPfcSciDm+UWW58YI897c7Z1iWIO3/DJu8+jrUCfDCS3PvSqI5YbL107cMSjAMbO/Xr
lDDWjauZ/cYZRL/VRSt2JJuOYTs52OkNK98WE8pSu42LfRFoRx3DNydMOV0IVO7fIl2OlJXHxTUO
LHGUTVaxCyfB/SKN+bDHIep+zz35W87h/08VmQg5lhKRf30trj/Kj+qnIpOEp//7alw++Q8h5iK3
xCi8NEz8b/LOrDlua8vSf8VxH/qpocA8RMetiMpM5EwyOYii+IJIDsI8Hcz49f0hRblI2da9NtUV
rmg9WZaEBJHAwdl7r/UtOoivXo2W/IFX4iuNJl3Ab69G+QN/woOAMpCgI3vyBH9TnKDRhGAHdBth
IzxMkKJ/4tXo0NN8/WbUJ9Mz0l5gmXQ9sdnyQa87kYWQyk7PFJ1Q2fBLY5nnljBWhencRB7LlRxB
UR4QjbSSdwMQ7JLh2GfGPavGuQ86NHOK5O+8YLyNG3NF0uRSkSQ32hOtuK07PE5WwtygPQs6+RZ7
3SqeasDRWEWjWMsFNhWUY0mxU8TcbOyl2fFvSQlOIrGG97OJTe3SFMa5YWqrrtQvdU8hp2ymEjvd
+wFuLYeswvLalorrsSfonNetHlBhpPIsqR/G5HrwwfmmgB97E+90d2YVNsSkdK8U+nmm97eFRpZV
nR14vNyCTXeS0jBC1ccM4mbE47ywPf2mMv216KKL1NOBTAQORjRDrEcPAQK9x0ssqWutqEBUGS2a
aecGN8NdpHPJ0EWsNM/cgLdwaWM+Av5g2pLudVagV3fe7zQYvsedfP0SJ+QJQCC6yt+3k/GlqlUg
Szox6OXC532CPXDvd+WFMQwXliBMLwjieTxartQY85Zv5scn8H36zEnQK1smbe1JWUWL/O1dxKSY
bYEaei4bdgAP4d5uxLKXmcG1gwG7JlAvdC82V403Yl0bb9ss1PZIkKVNaqKisWbPAyC45Yjgdd7G
Wri0FC91vXzc94lYg6VkiGPT9ZRr4F4jAlG4aOliBZQJTobA5UzotttpDhVvYvLK8Yy152i7skf7
AhqX8VClPg4Y0mdgxC8bOVyNFQoBnr1PWqnuPKs/s6NmlwEx3OZl4e9O1+dPLaT/nm79D//W9FmP
eTGIEDTj3yZpYFomfyhcnwcI8sLfIBhOar7pX76skeYHm+hrh705Wcq6OYXZvYjVzQ8kC6BWNtm+
OyjWf10iNZZIZ+IvIGJnOTyNeF6WSP7ItPG8UVWwcpoyKWp/YolU3nbvJqUg+g5KfYezkHVIDG9v
7iYwMdum06agE+XHlGS2u9KCs2+rlBVQWET/Gfvrgxcr4pnpZnbfNVDczTYIGlevuty12ly4FmqB
O6Fgzm1xNC4UO0yejMRvPv35W+3/x3c2r2vYAxgdKEL5DxUZ9as1bHGsj798LYnPj+nzP/+xPz4d
4+D1e/t3D/D19gQDovEqRhhPevRkkPh1mmipHwwysHlLM8Iim+LV7Wl9kGn0kselU75yO/JH325P
FaWpZUMU4b5F/89q+iduT9t4e38Cj8DhweJ/WpRfDRH1pM5xstfBOumsdMnemB4pCQ20SxFvgaTS
oIPsLCmzV40mKgQghrWl6AK335o1huRiRN+d2bCzFxbL7K0heTCeHXu4xQvr6NiX7KxYCkLvkxmM
Y+cKPWZ1acWy3pOultrTsGTEQDcrfJ/AtaJVMA8QXoU8fUoQeqDlKBUYXnP9rFINbQvioTu23pA9
FEFM2JzQo2KVpxkSi9EIJ7JTW5nyuhtM857KgUB4LXf6YTXItYziIEnacsPs3pPmbHv1aNHQbCy3
oH/CS+pLw5+zrSipgNBtNzZwUDNuGGwh2DY/q0OcHvpeGaR536oxds6IdjY8YugdqMYD+XMZQUkG
MYhrbO6g57rqs7DNZ0aktY+RIfVbJ0qhMTJfujIkI3NLO1SvVSNqPjG5Mw60ANIrK+UVJ9W6s2ZX
M65auc/AzZqWt2/Zw9B6J61J880elX8n2UucFKTIYcYOHgli5nuUkipw3EQ1W8BfcTfuCsnUvnQI
rq5lDJTPYJUotvGAlJ9pzOsXTjOwPwuqiOikFBLrR0ufaLENroJDUDi0BvDWdDOnZ881awgoWMVJ
iHAlonz6aCmmdIv2J0AF32EaA+VNjKZjlkPshgRDMB4K1AfYcSUOWBsZq0riwqyXffgZmUnuAByZ
1HLTwnN2dA3rPd1bgRFXQ+1vRWVICFHK9AUzYlbfp3osiYWhN9Wzn3r9jdHmyOEqvUZga9eSPbe8
xj7LC2FSxeVZkixqR1dXcRlVzgWuSxC+eIkhoRhOywRukJIcMdUIOHNGrZzrbgRrVVuCE7eeiVHy
cNolJelR1EjF6JrkgClzyUmBZdcGmBDA1sEd9PN8hpm8zy5ScjUYdhZA4bkYSdqtjcxq0Px4om/m
oZ4Sw9G0CJXnjCsyJLi4L68MhG8gDNkf3qX4u7+EUQFxXiSq9xx7Zr22o7JRHjHMyCnzd1Npwf96
I7dUDwhkaQmMjQf6Dcq+cYLMwzmfMNfquuqxMYMerQ9czoUcpvy+Uitpr0hhHrttw85bz8cxOtRB
a9Ja6uG+R92QfgTXqj9Bgws/Ywr07JnAg10sshCEhyLjdYpkKdbnupJ1myJATkMtj4RqRviSCfo0
KxPUUDle5Xnr+M1ycPBgzoJxsJ+dVpgYQCoHYoWVGKi2+9q6BClWbRhOVXgq06a/Jou2enCEUX2K
CDw41/uRiQdWVlrMQU+ifCGc9lKS9OpTJwxjxiw2342jUgIus8ia6wmXwbfReq0LAboOicIJprxa
uK+uhMg5nI1RW3xC2RbvMiU2ApegVPh6ERpEGnM+uBCiJdAvcFcCT5C7HIurgdq3jSzTNau8fWTk
Bo9FiRpsvvUw1mcJjIQrSAYBGmIvLzw3MYZ+RUiXsYJBLm+sIgZrovI1fhZOPD7BhPZNyGfycEZt
Lp01VuCfOUQkIvwlP/mqS4vwum0ltFBJayobuTPHtV554iq0u/ai8lXYJ2qXkV6WN9nd1Blx2xE6
ToW64AbJdBYiHvbHZRR3CZBvpwhdbOMo3FDFR/dZ2OUXUSIMtyr9Cf/W95vGE+NTM2i5PR9Iw1OY
2ea4wc124LvHvRQwve/84jMeuBhwsq92W4CfGiz33hJAquX6I99OPwEAfeUCXWI1bxP4yVsJxHg1
6yAXOKvcJlXQCyWkVHKl0Yzxkih/SOiU3tR6w01Yyo2jkrJRRvdKrhd3RtlBUS5LMSGGGr02lro5
qlDw4gg3W22BTF+phVzcVhGTtivVBhTCV6Kx6FA1lQtNwrW1C6JB7hb0SpTRtcJ6chwUA5kSatJp
+kbIJDhcFGUhzvwxxBvUZc4QL4h5cc5FaSUPfeAHXwJJ5IuiksMbXxUVDa+ENuXMSpjwRKUXgd7w
c8v1BgVpvM/MZK1n6EAIqi77rd6WSMU1BqnbpmvhgRhtkjLLy2uQ0ZHaVgvFrxic215/6IgmIWZx
kOJVSw7LRkGui5i3SfQ5vFajX5JcEu01oUiwj/Jao/zVglXbX4imR0kQ5FWO06xqx/0QwQJs0hRH
nFzqCINKM40erDLO4FVou64HiTdDEjrpDzjDyyK3qk9aYnckQ7DjgEFZG3R3Y5R3ZEgQjeAjTt7y
2Bj5p5TGH4Cculpbpr2qK0LaZoOSfE5smE34wdg/oJQAApw5yTbQOpwYSiSA+YaVZ8igX8aMdciQ
VkK50uz+UlWQIsI2HZ8S3ga8qCFnJFkCBmzMe3T8nj2nX1lfZV7TftF5+aygZ2tbzcEbwmR4YnQn
67FDYKDWVfVR6w2NQCWD5CPkjuQw2WQeIKn0WgzgrXNoFEVbxknXIO9BR7OFipy65hA2FHsKxi0N
nww+ljDq9ygWa0Soucx02IvPEoOF3I0IZihmSu/nwxybiQQ90FSgxwetpKyqaHCi2RiW8WYMaVXj
gEwIkum0PQD9aAeMXt81QYO1DXFadQed34F7kdmPBMoCRDUzvbzQ08S+Ai9qraO6Js5TLzxwK72k
PjncMNAUleyyjBAXlQR96G4aI3yWjbr4KGeUpF3D1587JawtmoiTK4f81Vlo+vJMsSLrPAN69KiE
QMRcAQ5mboq6mFoOeA7rEmQJlJNHQimKg8kk4ywTEfqsLo7888qoCFYi8GzVGXCkZlJSaDV7LtW6
T0cNEXU+sWxNfZKz0m/0n72gDGh4SPhhmsJi/g0xntyGolZ4gdIH/dzqg0VZgz5Y0rVWZgHw/M+W
HAdAq8K2v5dMMJqE/jDqjuqITguYnVVgF9YFZipt6/Rd/IXzFQcUGcODMzZwV8diIFekD3FrMGW0
awRmHXq2qCIvYgE2CAanST/j0gYRv4Qh1t0i3qCxU2bp0cE3iS+vosmMeN7r6pkn6gxadKn5K76q
bq/4fs3qEHriMhQasqecOU40q8eElQo4WZ3grglEuLUiqclXTS2YGDBpJDPIdoDcLQljUs6rotA/
qVbXMi2v5HhYhm3a4rkiOJL4KVAXu9C3cDiRm1LVC2YMIiApRR61eaOWWDu9oROfuzoUEZhK8iTn
4Zh4ZyHmMvT+tYn2VMmcEahMWB/BgfJS6wxbuYpbi+uP+lvvZogDGqR9aXKr60F5haSNnAtBPXQV
DbqzaJUWLogqW7sQCS/BZI38HCqlTaaCUWWqy3s3YwFUm6TDkSWMawAJISSfgS3BrBNVkLl+OBbh
QpEoYQ5MzVqa+q2hr61EzXNcPnrBVKTNbMYnvCpaMp0rkub4Fnx/3oMnXplKbV8liVqUi9Hp7HGW
O4n+JUolB+saY5qPjiEN0IEk+cm2k6ZZ593ImzzGDUSoch9lqIaasi+QXUSA4ao6wAGR+F9UPw+v
6pFczcEplHDJHhNui26H7mjl4rIhchYrFXHaSlbZ5nJg1xYt9F5RCZBikmPLTWwjYqq8o9OV6pWc
scVw2fU60lykjpG4fWH2MftrwigQKo7s0YCPOiM/+GxkBLKUvKx3haXxmOi8lyHi9BjQykjOjxpw
Y/UQtX7iei2zRX7XH3I5wQqVFXmnzuRCeKRKCKHOYS8GBw9Q/EZjGH4RyylcucGsLPKnW7XEsqZ1
sJwtDul/jEKdc1KEVtwWiAerRYmZ+EuehFiRtIT5Cq4ec5F4ZbOQIgKF4TPwJYteAsoiaiJaNGxx
nswOcDb4QqY7WNduM8rci0UYGzND9otjkEhiF5OCwgaf/Je1VOOCGnRk4StPSmmO0RyW8A20HIX0
H2PjW+jneLUrprpi1uNt0XGLxyFx2DSPmNiueHMXiLLU0NnZXp4h/ZexUvd9rq1kcGMoM0n3hfzX
u74gnd1UAyIYssgaN3oE7k9CUO46uUScwlA15ETX+hY2oHzHPmACDjuQ40iRkHhoEmI7Om/EZI1V
DOSiDzEnipurXG/oe6bgVauZx0x0BkAlvIQ/l7gK9Gp/ZtiOsZNTle2UEXsuwVoP7FOdlcwz6eZN
XbkkX/r3wIXrh0GWDSDi2IoX/qDG936VW5cQwivsJnoabbtcSlajlJLA6Nf9Td97B/gseKDkJLg0
QsFzqfbY1TzT6Ld22XZrvUj8nWkWMdfdDLd2kDgB/fLQWOWxrH4qxYhkCxy1Oe3QU7LOZBmaiaXr
E6DIj9jNkiv0YLDErEO2pfge+qg667Kk4SbSKI5Fi9FdlchTW/jamGxyQFzhTE7D/AbLoL1kC2ce
iFzQr/URFJhlVtIhr8BGdRBgoJ5ESHxLqfABQNuqujF923atvg1uePRAOZsqIFDbawqWRx9sedW0
UPCSDBkUYL8AW1tAMBWTBzErbXuAJGXK8ZkhaQQYwao5DzF528hUouhCJKU/LAwZ1x7ASGtDCuVQ
Lbwmqq8B/IQfcba3B0fyjUeeXeWgBMJ5LgEYLoUTeenMVAfQi1KnK59UolcQy8TRBopddAZ4AhKU
3NLLSGvWK8h3KmI1O402SdYEiyZLU2bMZUogmtRv1MIsFqjm+p2U8MPGFgeZIUFhsF77uekaidZ8
ErzqAj6tTJayDB0vRG1z7amJfVMHDSDroSlU/GdBZy7LOCKYTVP7szyX8LFNOxdjrltBdqMQBLM0
Cfs75Lr6xaIY5K2M9K9a9ICi9oPeW4xUdOG2cQyBOun17tbkpcx3OZa5vWzavH4iaWKY/2+K86Tw
SHVbawOO+ToRfb+QzQg28jgEuO14pTSLxInk6v/NePB/EoqFIRjIpIl98ceTv491fRQ0D793mv/X
v33pGiofZDT1qD/JGqcJPQ1FXpra1gfDolsInOVtbK6mfNCZ+uH91inCHHPSqbw0DVX7A39AaAYj
w6lDTj/xTzQNiZ74bu6naNgYFbTdDGxoXsq0J1/P/QIPkTQFnLpCPZuSpgd/ZMQNlWMC9CzjWLGp
vVQG1vuyiOU5sQI0X9jwmDAMdfhUnWF1e6fSwnncyiQBRiSYBcXHZsyQt5FVa1mxsQhMpngWNMKH
IGzqjRyFGhVG7Uu02MYMxlFrG+NGGlI7ntvQ7K/AnWrLrC7HC5WZGjJSYj4i4vDo00ConEVm02M4
73AUFOIZJxY+Y8CCLP1piLvdUexzuW7Cvc9cxx3UCLKg1ZTLVNUCbJZp6FZ1ZNOsUpy5E4xiXiqo
GYJIc54iclXIU0JaDobG01f50MjXFsDJi7gwyxXfjLVItZ5Qbb3uxq2khOoCLGa1VEcrU+caVWQ4
g0N/TGyFE+38JFqlNsr9md8Occf+paU/YTT2ZZdExMqVBb0fWy8e5DQpz/VY3uujeV878hkNVbSR
OmXRkOzbluQgY7gMJGJx6Z4dgH2cAX0Ti163yBwUzLFMnzBXG7jqMpfMBP2flBZIc/quXgT0oW7o
+rIfoX7y5AVci0s1j3ZEhtKQsVN94QFzBIWb280ySAeGm7Uj5HaWNWp+BK83nA3sg++dqKfJNNrF
gdUEntZIMORNgqp7S5FRrXtTks9gxCQlQWgacZ52Pe0OJuqymfbWuq1Ka82oo/3YMjokJAXJPYl1
I8pCTVL2zF+kTa4iAa20mgz12FAR95gso03WWZ86TA+7jBQ1Yn0CvGwmV4SMoTR8ChnIuDJ35RoO
MG/X3AiyFa2u7L41VPPCIh5+lihy9CCK/HNtD9Znh93cCkphfJUCPzhAdTRvodUnRCUF8h7Hq7Wn
tPaxN5vBgiCEPdIlfz81cpei1KS1I3fxyvN19dKiRQpaHpwAfo6YO9qIq8kC15zDFabg7HU0n0ms
9nPFSpX9gOmZjo4SWbe1pcKWrhycZnkZDteklvUbGi/KAZ5eoxNyWLRHzaCgZ2KqYwCsIiAKY33f
pV63JxquWoNU0m4q2ZYCBp95h4cwEvcJlD8xj6OxKudtLxnluSPH4Gm8LqX3ypSimmHbkEho7YgK
9Tq7YJ8X9/h6JT6G9Ovu0CLxv9Vz0q4w1/BVlHFvBS59KzBrWavRsAOzO9eqFl98pDLtDWX7guUC
u2McquF5FMCQtOmuHrp6rPctdqtDr7SYM1XLGK4B9itbPa6ryUyk5I8Mc/wLuR5oQatKpC5bUVZu
2CPaJSTaknapF5Pf3CldrvChWXShjlp25rVjfKhE17i1R4O9TpSEaZrery2rIwGqlrri0i4678JG
RLsPUtC2bVHDPa0sW1uC5kHP7JhJuFcjT11a+WDulaDqd7KogxUQLPoGctGdBYiT7o0CSCnovLzV
5urwsaDZSDIfHMYbRaTEIahjvvIYjcxprIhrA6H/ItQBfYeJEq7AX/BsUcTG59QU3SUd9v6ScTjV
qZ2Lel4QXAZk1SQpt15LpSzWVt4GsA08ee3EpFTUllQeFNNJD6FhGbelZHa3MhiK545N/TiDkoNk
b7Sla6S56kXLkOVW8Uo6TErRYRDvIroHtRUhrXe4pTNN+0L6g432uytujVxWFhLxMrdhQBZLjG65
npE2N7oaEuNlhNcSCFQcLOUq6PBJ+NW81AWsUglv97Vupd4yCGjdzzS7GzZ5nGl7Pw3H1ZCaxopc
cRtBiRgXvhIpm0g0zh0wVWtZVmpzxVTAO/Bb6uu6s+7CTklXqS+CJb7T8lw1oQMhUc8eBgt5n66o
6T1YD+fesdP00JgtrcNeYpM/wnCPsQe7aUtBP7clS92IuC1dpUxTfW4kcbCNqW630HBLUFC22Oij
QggapKJ5FIePquhtYOjVtmBwsbJ4q6Vefl9oY0nvqrGu/BLvUtoPG2Jz/JsyStrnrKIjaQqtX9WC
vTa6eLVUaEGNQDvZ6hcBMkuAChJOdx+Pj1bsC0uaSiKix0SDR4xOG0+kjMHWiCapOYMFXbsTg9ga
0NHPlLxdpz72Hyv0zyAEizVLtasM6ETTCG4ZTm5gtALBDNFYWUGhV4ekwVGcJNtYqyvMJTZslSBq
MuJGgqZfxnWUbJC1TT+L4meu6GmP49q4Z7LOytzkFpbcTuuhpssQqkQ1DotGV0dXLTtjmTlpe8VM
zEhdHK/OulcK3PSQa5DZ9ViqoitrGiIyAKgOMHGLh6LRYrpxBMuW9pBu+4LLg+PfgC+catyxhX6G
BHWahXkAi6ts2CndVEJSdJptP6LoUJM7QKFPMS+tJPWOQW9V6y5FR2Rn1LQUc7Xuz0sjJ/dP0fN5
r0vaFQUcBJYol691+C2MPqSovwgs4ohmqm00GiHGsr4A8q4sU3IWadfL0pfeE+ZWUeHt83yUexqK
zVojqprXTJM/pXXarm21wD2mFuNRBAZqqCA7TFP+iV0zun6betd8ASnXFGvljPAO+2irBALrVRmc
Kz6uc/6iBgK9x9Mgj/mBAD95j18nvetamSC+wC/kuSy1bbHsVFA4zAeQLjpMub+kkqYRHyk5KCpj
HX+3JhiP+HYXugBlTH1F/k2wyXSybfBmEXMT9Hq7zhAayvC8MzNZEbaXX7G/CLOzxJekYCGlCbpf
loF5sJEr5K0LtSyj7oI5gtjSqkpgt2nhc8qKM8wCwnfmzEvsWaWZ4UcNJKgbsd2d27GiwB1pYcyo
gML4vaWtUy8Il1qkkk2Vh0iByfmal7Yarqk3VZew1OIKMPLFlN6c4bnmA6uNyPt80RAvT2eGFkfN
1gKWauzPRdX1T13Y91+6Qn2qQkPcW0l7NItWBl6s+/kFxaC5bshHXI9WGM6zXOv2liYgxRRyuxt1
VZCTCrHZqoJ03iW8niq5oe9c2jfq2AGMUEm1VJnnLTxB0yig9YKulF6+kRjZMqiacEcXqruoFU9a
eWTdIZlNa7qniolpD+CCCaf7Cao+zECBGi4LRo2voUlvQiMntEaz/YPM2GtVjW29lCJMpRj4zWvf
8sG6Z7w655E6RgxEa5qdKgO37SBZ7bKy4L0KuD4PStT2Lso275CGoHIZZ1lzwRIFdCAyzhsCw+dS
4pGIXJJQ5VGYhvPOzhxItWFvuGOCYd+IIS/P1bCz3MCTg2VUW57P7qpDdOXk+s6yResqotfXaW8q
117tBK4oZOOswUS0NgY9XsVDp5AKyySeolYjR7DtNmHi5QeL+ZQyaxjqgMmXpfCOHke9LrsYyyz5
4YteBdKqh5k1s61Rv+VFBw7JFDbVAc1OVyf2dhsqqb22vBq4BWFDX+wsts/Mykg+tnGWrgh8kF1s
ZOp6jHVj45SDvkTbLG+ytiAQM/YcXjUDrUJ2A1MVnvX7Sq4vDblask+FEGSRGWQn4pPk5QskjsF5
O0ifIX8w0fFzQEYZQjHTZl4Q5hQthWlV80KV+20BtM8VHkilWa8T59VM4Ht4qky8uTHAW6V10l3J
MXB3WR+NBQ0fj58AMr6A9rp9VVn+jrJP/Y2y7vs67TtlnWTbY8QUJ1gTuYB5WTPihURMEXkddrhE
f5AvoqyTPpaO2t8Ay3HuBrstLtRg9Hf2oJafvRCTkY4Ov5kRNuCvgmYobnrNGZeyQZBvbMUg+4Uj
HbJWMKGbZA0xG1qGGHNHZytBEl14h6hVktjUZORlq3W2KlpLd0GJky0cSo++mfuM7AiylSLCGbFJ
3TZlpWBHKgzXA6xypzYNcAbFYKJeOnjgpoSJLDaMcz2JUT0bmjAWKX52+ECWdc9O3V8ZKvMr2OnH
vDUOTY0lgx3KbIizGOedSrtoDIbLtskIMY7HPb5HMvRiG2Awjm6kJDHqKxM9tRhZtn1hPKl1Sf9M
0mnPMZhiU+gy9Mk/jWqaqAtcXzFLbGC2e8+yhk1AiIpG00c1L/O8YnJLANWUcqh4oFZi9RkbXfhU
eGOLq1vCqQwx/CofY8SIICVnI0pU2c2H1tzpdSOtDTX2FlU05iWRibC83CGX++e26u+qYCzJkzDC
pS7SZGn0dJVan9rJLGg3aoxJcZQYhJ6WOBKsWWOQGNDkLZ1JZQwvxjjjDR1gd/SoXw8h2Wf4Kfs2
vOJBdzY9U5aNyoxwQwAZSl38jF9w1rEVTLuuvwnSziB4hv0CUeVl1lhzJmL5Xp322e1py52ctt/q
tBPnLcymHHERed91qdL6iuj5yV0QXGjTTh79B2uTPe3vldNOX2Y6zfrA/h+lS713ppognqoDGtfh
eUOfW58JX7IvqqhTlkXuVDfpVGCIU61hsjNjMZpKEO1UjTRTYQLWuDukp2qF5Lh+1YmAl7XZqXM7
GBykNU0puX5A19c5lTz2qfxRmAgU67q0etAjprLthYG1QS8ivvCYGxfnTARrUrGOwN7x5cJcIOi7
rQ864tHVYMO+YxGj3hrL8boQOs12qbiS1DBcFxIXTIMve4UzQSeEmp2yNFS9NMvZCm8tUiB3bUCR
pgsPU1wTNfQDbbZhNNFrZx5gffyE38SYNygcD47dWbcl38Ewk6eSMZ6KR4C41JGEscRnQVzTKaDI
JCY7mnenytM8VaHOVJAWGAhW5VSkNlO5SmseFw0VbDGVsmAD+dqn8paTnApdSl4xFb9MIdoDoU/x
FXQ+a2VIvv2ZSebnvoriB3MqoJuplB6nojqbymv7VGmT0zmsg6n8dqZCfDjV5MlUnqdToY6RR90R
mWp96qcyvj5V9GIq7rOpzGd4K20iFunUg6pU07dPZ82pMxBPTYJmahcYU+NArRtn8eMV9ZSp9jpN
S9FV2dEVE5r15Mk+oTleqeYqh/wl8q+l1VDb+jYDpF2rnu0ag+S46hQRTAiXcZB1pumTN0wlmrMx
Vq1qKZ8rmD7ZXOCvfRraptumiT7sJFupDjbdvDs2BvmtZhf7Jswqt5FJQGbz1F0xQCAgHQ5xzHeK
ngx7Drntck3RSYRwBLXJ9CVrW9lYn5A5cVaao7bsrLwxOwpQPqSJMxvEzDQtZPFpTYtO69t4Wuv0
07oXTEugMy2GP75gJ3jZmwt26hSymVanNpdlfMcqcQjBph892CvGhtfjnXZXHqW78qo7ry7hH2YX
UnL+40/Uv6OjoOREUwkXeqJUs1Ra331iR4MFTnnorVrT9h4Y4MCFQiw4nMd9OKpzdtLFTgwl7hjF
j4MHxRhrF7xG/AX/V6/NhiH0lhmaKL5Lix21O3oa73CVVGZ5NRqe9KmqC/MGSAyvOjPLAYXEOgMt
OMyDWPdlXu5B+MVbEw/3hp0M6xPtlJlpgTLrR6zBbD9pNqTRksjFcjnAEtnZuTHek8flbSpQBpu2
NOxVPSTSxzQEgkgqVXwJc8rfqQlqlh349OI6cMwR204YxYTa9MTCM/q+1X1tWr9SNflv1gW/Q3/+
IpOfNLjuiQF02TyL4eoZh+GkZP+KzZn+9JCHWX2T/7W/9OMDvYh/b4YC8e8j6qp6OgMfSPVrDTD6
kVe36q+ndDrfHx0hOdZh3TxxaBVtL+1Jk+f96y86+IDb/Jc/tpyTeQeNuyaffn0VKb+6Qn90DX78
4329mD/+O29+gONTCkkAt58IH+vXl4AQzmnq8Gb8cTqn316E747x6iJMvNxpvVa+/pCTqejVRUBO
bZjmdJleLtLXi/43ughfacM6iPT3XQf7g4leHEkL4Pzp19vrYFkfmMCwshjK13uFvT2f9ze6Dqz4
v7F3/IWbAb4VXzjzrtMvHGivbgZyCkj25hI5LxeBQdTf6yLwsuWU33cjQBajqMHQ9PLYv70RbP4Y
azrk4q8f9De6Awgwtb83UvzpO0DDJEGwmQEy8PTr7U9v2R+YkvKiZ+52+vUnloN/40r9+oYhxyx5
Or1bwufq915Bf/QXvi2rv/3zlyV18/TPf0yvjjd/cXrVfP3s51/Bd//xZsk8Pemv/vDbk3/6nJd/
/vID/vaj33zWt5/q2/9ch8/iKB6Jjjh99MtpfnW+/Gf2FJAlchDHp+cqeL30M6GegA6/nu0///Hm
dF89Az88flUd02+Hma7M5E/59vuv79+/cthZGBzFt8NMh/36WL73bNdHMRyz4+sDK8zWWInffeQw
PT5CzvjdK41HkpfLez9ieyQs95f/dUyL//PL7kgvM3xzhVhtHJ6l937K7igyNmfx24tkUvf/hGNz
nybfHVif7FXvPen9Ma6C41P3/Fx8O9jpKZ2sWN/+x1+/Gc+OT8Hw+8/Q1/Xyvad/8RRy+t9O9PQU
4bH9CV/moXlqHoNnIYY3Byd9XPn2P/76ZTk0WXR8+Hac01nT4fkJZ311jI7IPI9vNusvm5P3Xurr
MI7DNwuWJtvGT7i3b45pmPxyfnxqXl8RQpRMtjjvPeuTCOn3lpaX/ft7j//puap/mT1nJGp8O9nT
osue/iec/dmRxZwFqxZv7nEdp+9PWHlXTcTR31Q1FrehqrG7eu91WeVvzng6Lo2k9x+Xt/KvQInz
8DF/IORrU01pJtW3g0/XH8czgV4/4Yn6T9Fkf/x6Qg5Mg+xnLJThmIu32wEOPTF2f8L3fCMmDPCb
7+Pl4D/h6f1TiWvv3DL9i+Cadx79x7jk9x78X9DB3nn4xXMShK8fgP+qzN/7JC9+fd7+GODyzrP/
l/CDdx8/ONZ1WP0Gr/AiRf0Jj8G/IXZ95w+x5VXwh2Lan1CP3Dyzivrf7/FNhRRDQ/sJK+m/SxJ4
52X6/fXoF94bv/zhnQxxiMYKWdaqPoGCDDBE356lP9rk/V69+WtL6rdV6Le+4+/9s7cl9vQ3HpPn
o/iP/wsAAP//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0</xdr:row>
      <xdr:rowOff>1</xdr:rowOff>
    </xdr:from>
    <xdr:to>
      <xdr:col>7</xdr:col>
      <xdr:colOff>85725</xdr:colOff>
      <xdr:row>13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4F9CA-79B6-8369-CDA4-404AE035F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266699</xdr:colOff>
      <xdr:row>13</xdr:row>
      <xdr:rowOff>142874</xdr:rowOff>
    </xdr:from>
    <xdr:to>
      <xdr:col>7</xdr:col>
      <xdr:colOff>114300</xdr:colOff>
      <xdr:row>27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AF93E-C168-440A-930C-F0A26BBB4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371475</xdr:colOff>
      <xdr:row>30</xdr:row>
      <xdr:rowOff>0</xdr:rowOff>
    </xdr:from>
    <xdr:to>
      <xdr:col>9</xdr:col>
      <xdr:colOff>200025</xdr:colOff>
      <xdr:row>52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69A15A-2A02-4474-82BA-3CAA411C9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19050</xdr:rowOff>
    </xdr:from>
    <xdr:to>
      <xdr:col>11</xdr:col>
      <xdr:colOff>9524</xdr:colOff>
      <xdr:row>14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284045-ACAD-486D-B012-3473A5BE3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15</xdr:row>
      <xdr:rowOff>138111</xdr:rowOff>
    </xdr:from>
    <xdr:to>
      <xdr:col>11</xdr:col>
      <xdr:colOff>76200</xdr:colOff>
      <xdr:row>31</xdr:row>
      <xdr:rowOff>28574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E5EC0AC-44D0-A543-E858-E3DD80967B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9450" y="3443286"/>
              <a:ext cx="4943475" cy="3205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s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ales_Data"/>
      <sheetName val="Exercises"/>
      <sheetName val="Product_Lookup"/>
      <sheetName val="SalesData"/>
    </sheetNames>
    <sheetDataSet>
      <sheetData sheetId="0"/>
      <sheetData sheetId="1">
        <row r="2">
          <cell r="G2" t="str">
            <v>Electronics</v>
          </cell>
          <cell r="H2">
            <v>3</v>
          </cell>
          <cell r="K2">
            <v>156570</v>
          </cell>
          <cell r="M2">
            <v>148741.5</v>
          </cell>
        </row>
        <row r="3">
          <cell r="H3">
            <v>2</v>
          </cell>
          <cell r="K3">
            <v>34080</v>
          </cell>
          <cell r="M3">
            <v>27264</v>
          </cell>
        </row>
        <row r="4">
          <cell r="H4">
            <v>2</v>
          </cell>
          <cell r="K4">
            <v>114360</v>
          </cell>
          <cell r="M4">
            <v>102924</v>
          </cell>
        </row>
        <row r="5">
          <cell r="H5">
            <v>5</v>
          </cell>
          <cell r="K5">
            <v>40500</v>
          </cell>
          <cell r="M5">
            <v>40500</v>
          </cell>
        </row>
        <row r="6">
          <cell r="H6">
            <v>5</v>
          </cell>
          <cell r="K6">
            <v>39900</v>
          </cell>
          <cell r="M6">
            <v>39900</v>
          </cell>
        </row>
        <row r="7">
          <cell r="H7">
            <v>3</v>
          </cell>
          <cell r="K7">
            <v>690</v>
          </cell>
          <cell r="M7">
            <v>621</v>
          </cell>
        </row>
        <row r="8">
          <cell r="H8">
            <v>4</v>
          </cell>
          <cell r="K8">
            <v>4680</v>
          </cell>
          <cell r="M8">
            <v>3744</v>
          </cell>
        </row>
        <row r="9">
          <cell r="H9">
            <v>2</v>
          </cell>
          <cell r="K9">
            <v>38980</v>
          </cell>
          <cell r="M9">
            <v>31184</v>
          </cell>
        </row>
        <row r="10">
          <cell r="H10">
            <v>2</v>
          </cell>
          <cell r="K10">
            <v>9440</v>
          </cell>
          <cell r="M10">
            <v>7552</v>
          </cell>
        </row>
        <row r="11">
          <cell r="H11">
            <v>4</v>
          </cell>
          <cell r="K11">
            <v>11760</v>
          </cell>
          <cell r="M11">
            <v>11760</v>
          </cell>
        </row>
        <row r="12">
          <cell r="H12">
            <v>4</v>
          </cell>
          <cell r="K12">
            <v>12080</v>
          </cell>
          <cell r="M12">
            <v>9664</v>
          </cell>
        </row>
        <row r="13">
          <cell r="H13">
            <v>2</v>
          </cell>
          <cell r="K13">
            <v>360</v>
          </cell>
          <cell r="M13">
            <v>324</v>
          </cell>
        </row>
        <row r="14">
          <cell r="H14">
            <v>2</v>
          </cell>
          <cell r="K14">
            <v>1360</v>
          </cell>
          <cell r="M14">
            <v>1292</v>
          </cell>
        </row>
        <row r="15">
          <cell r="H15">
            <v>3</v>
          </cell>
          <cell r="K15">
            <v>8070</v>
          </cell>
          <cell r="M15">
            <v>7263</v>
          </cell>
        </row>
        <row r="16">
          <cell r="H16">
            <v>2</v>
          </cell>
          <cell r="K16">
            <v>9280</v>
          </cell>
          <cell r="M16">
            <v>7424</v>
          </cell>
        </row>
        <row r="17">
          <cell r="H17">
            <v>3</v>
          </cell>
          <cell r="K17">
            <v>19260</v>
          </cell>
          <cell r="M17">
            <v>15408</v>
          </cell>
        </row>
        <row r="18">
          <cell r="H18">
            <v>5</v>
          </cell>
          <cell r="K18">
            <v>56650</v>
          </cell>
          <cell r="M18">
            <v>56650</v>
          </cell>
        </row>
        <row r="19">
          <cell r="H19">
            <v>3</v>
          </cell>
          <cell r="K19">
            <v>37230</v>
          </cell>
          <cell r="M19">
            <v>35368.5</v>
          </cell>
        </row>
        <row r="20">
          <cell r="H20">
            <v>1</v>
          </cell>
          <cell r="K20">
            <v>640</v>
          </cell>
          <cell r="M20">
            <v>544</v>
          </cell>
        </row>
        <row r="21">
          <cell r="H21">
            <v>1</v>
          </cell>
          <cell r="K21">
            <v>1710</v>
          </cell>
          <cell r="M21">
            <v>1624.5</v>
          </cell>
        </row>
        <row r="22">
          <cell r="H22">
            <v>5</v>
          </cell>
          <cell r="K22">
            <v>1150</v>
          </cell>
          <cell r="M22">
            <v>920</v>
          </cell>
        </row>
        <row r="23">
          <cell r="H23">
            <v>4</v>
          </cell>
          <cell r="K23">
            <v>3040</v>
          </cell>
          <cell r="M23">
            <v>2888</v>
          </cell>
        </row>
        <row r="24">
          <cell r="H24">
            <v>2</v>
          </cell>
          <cell r="K24">
            <v>1040</v>
          </cell>
          <cell r="M24">
            <v>988</v>
          </cell>
        </row>
        <row r="25">
          <cell r="H25">
            <v>4</v>
          </cell>
          <cell r="K25">
            <v>26000</v>
          </cell>
          <cell r="M25">
            <v>20800</v>
          </cell>
        </row>
        <row r="26">
          <cell r="H26">
            <v>4</v>
          </cell>
          <cell r="K26">
            <v>44360</v>
          </cell>
          <cell r="M26">
            <v>35488</v>
          </cell>
        </row>
        <row r="27">
          <cell r="H27">
            <v>3</v>
          </cell>
          <cell r="K27">
            <v>10440</v>
          </cell>
          <cell r="M27">
            <v>9918</v>
          </cell>
        </row>
        <row r="28">
          <cell r="H28">
            <v>1</v>
          </cell>
          <cell r="K28">
            <v>1620</v>
          </cell>
          <cell r="M28">
            <v>1296</v>
          </cell>
        </row>
        <row r="29">
          <cell r="H29">
            <v>1</v>
          </cell>
          <cell r="K29">
            <v>9140</v>
          </cell>
          <cell r="M29">
            <v>8226</v>
          </cell>
        </row>
        <row r="30">
          <cell r="H30">
            <v>1</v>
          </cell>
          <cell r="K30">
            <v>870</v>
          </cell>
          <cell r="M30">
            <v>826.5</v>
          </cell>
        </row>
        <row r="31">
          <cell r="H31">
            <v>3</v>
          </cell>
          <cell r="K31">
            <v>1980</v>
          </cell>
          <cell r="M31">
            <v>1782</v>
          </cell>
        </row>
        <row r="32">
          <cell r="H32">
            <v>3</v>
          </cell>
          <cell r="K32">
            <v>173940</v>
          </cell>
          <cell r="M32">
            <v>156546</v>
          </cell>
        </row>
        <row r="33">
          <cell r="H33">
            <v>5</v>
          </cell>
          <cell r="K33">
            <v>20400</v>
          </cell>
          <cell r="M33">
            <v>18360</v>
          </cell>
        </row>
        <row r="34">
          <cell r="H34">
            <v>2</v>
          </cell>
          <cell r="K34">
            <v>17620</v>
          </cell>
          <cell r="M34">
            <v>17620</v>
          </cell>
        </row>
        <row r="35">
          <cell r="H35">
            <v>4</v>
          </cell>
          <cell r="K35">
            <v>4360</v>
          </cell>
          <cell r="M35">
            <v>3924</v>
          </cell>
        </row>
        <row r="36">
          <cell r="H36">
            <v>2</v>
          </cell>
          <cell r="K36">
            <v>1040</v>
          </cell>
          <cell r="M36">
            <v>884</v>
          </cell>
        </row>
        <row r="37">
          <cell r="H37">
            <v>1</v>
          </cell>
          <cell r="K37">
            <v>10390</v>
          </cell>
          <cell r="M37">
            <v>9351</v>
          </cell>
        </row>
        <row r="38">
          <cell r="H38">
            <v>5</v>
          </cell>
          <cell r="K38">
            <v>6550</v>
          </cell>
          <cell r="M38">
            <v>5895</v>
          </cell>
        </row>
        <row r="39">
          <cell r="H39">
            <v>1</v>
          </cell>
          <cell r="K39">
            <v>3130</v>
          </cell>
          <cell r="M39">
            <v>2504</v>
          </cell>
        </row>
        <row r="40">
          <cell r="H40">
            <v>1</v>
          </cell>
          <cell r="K40">
            <v>200</v>
          </cell>
          <cell r="M40">
            <v>180</v>
          </cell>
        </row>
        <row r="41">
          <cell r="H41">
            <v>3</v>
          </cell>
          <cell r="K41">
            <v>19710</v>
          </cell>
          <cell r="M41">
            <v>18724.5</v>
          </cell>
        </row>
        <row r="42">
          <cell r="H42">
            <v>1</v>
          </cell>
          <cell r="K42">
            <v>1540</v>
          </cell>
          <cell r="M42">
            <v>1463</v>
          </cell>
        </row>
        <row r="43">
          <cell r="H43">
            <v>4</v>
          </cell>
          <cell r="K43">
            <v>13560</v>
          </cell>
          <cell r="M43">
            <v>12882</v>
          </cell>
        </row>
        <row r="44">
          <cell r="H44">
            <v>2</v>
          </cell>
          <cell r="K44">
            <v>22300</v>
          </cell>
          <cell r="M44">
            <v>22300</v>
          </cell>
        </row>
        <row r="45">
          <cell r="H45">
            <v>4</v>
          </cell>
          <cell r="K45">
            <v>25480</v>
          </cell>
          <cell r="M45">
            <v>24206</v>
          </cell>
        </row>
        <row r="46">
          <cell r="H46">
            <v>5</v>
          </cell>
          <cell r="K46">
            <v>118750</v>
          </cell>
          <cell r="M46">
            <v>118750</v>
          </cell>
        </row>
        <row r="47">
          <cell r="H47">
            <v>5</v>
          </cell>
          <cell r="K47">
            <v>14800</v>
          </cell>
          <cell r="M47">
            <v>11840</v>
          </cell>
        </row>
        <row r="48">
          <cell r="H48">
            <v>2</v>
          </cell>
          <cell r="K48">
            <v>1060</v>
          </cell>
          <cell r="M48">
            <v>1060</v>
          </cell>
        </row>
        <row r="49">
          <cell r="H49">
            <v>2</v>
          </cell>
          <cell r="K49">
            <v>8780</v>
          </cell>
          <cell r="M49">
            <v>8341</v>
          </cell>
        </row>
        <row r="50">
          <cell r="H50">
            <v>2</v>
          </cell>
          <cell r="K50">
            <v>53320</v>
          </cell>
          <cell r="M50">
            <v>45322</v>
          </cell>
        </row>
        <row r="51">
          <cell r="H51">
            <v>4</v>
          </cell>
          <cell r="K51">
            <v>3440</v>
          </cell>
          <cell r="M51">
            <v>2924</v>
          </cell>
        </row>
        <row r="52">
          <cell r="H52">
            <v>4</v>
          </cell>
          <cell r="K52">
            <v>640</v>
          </cell>
          <cell r="M52">
            <v>576</v>
          </cell>
        </row>
        <row r="53">
          <cell r="H53">
            <v>4</v>
          </cell>
          <cell r="K53">
            <v>224040</v>
          </cell>
          <cell r="M53">
            <v>224040</v>
          </cell>
        </row>
        <row r="54">
          <cell r="H54">
            <v>2</v>
          </cell>
          <cell r="K54">
            <v>3560</v>
          </cell>
          <cell r="M54">
            <v>3204</v>
          </cell>
        </row>
        <row r="55">
          <cell r="H55">
            <v>1</v>
          </cell>
          <cell r="K55">
            <v>1760</v>
          </cell>
          <cell r="M55">
            <v>1584</v>
          </cell>
        </row>
        <row r="56">
          <cell r="H56">
            <v>2</v>
          </cell>
          <cell r="K56">
            <v>8320</v>
          </cell>
          <cell r="M56">
            <v>8320</v>
          </cell>
        </row>
        <row r="57">
          <cell r="H57">
            <v>2</v>
          </cell>
          <cell r="K57">
            <v>5460</v>
          </cell>
          <cell r="M57">
            <v>5460</v>
          </cell>
        </row>
        <row r="58">
          <cell r="H58">
            <v>5</v>
          </cell>
          <cell r="K58">
            <v>93450</v>
          </cell>
          <cell r="M58">
            <v>88777.5</v>
          </cell>
        </row>
        <row r="59">
          <cell r="H59">
            <v>4</v>
          </cell>
          <cell r="K59">
            <v>6600</v>
          </cell>
          <cell r="M59">
            <v>6600</v>
          </cell>
        </row>
        <row r="60">
          <cell r="H60">
            <v>2</v>
          </cell>
          <cell r="K60">
            <v>500</v>
          </cell>
          <cell r="M60">
            <v>400</v>
          </cell>
        </row>
        <row r="61">
          <cell r="H61">
            <v>2</v>
          </cell>
          <cell r="K61">
            <v>3840</v>
          </cell>
          <cell r="M61">
            <v>3840</v>
          </cell>
        </row>
        <row r="62">
          <cell r="H62">
            <v>4</v>
          </cell>
          <cell r="K62">
            <v>235440</v>
          </cell>
          <cell r="M62">
            <v>223668</v>
          </cell>
        </row>
        <row r="63">
          <cell r="H63">
            <v>5</v>
          </cell>
          <cell r="K63">
            <v>299650</v>
          </cell>
          <cell r="M63">
            <v>299650</v>
          </cell>
        </row>
        <row r="64">
          <cell r="H64">
            <v>1</v>
          </cell>
          <cell r="K64">
            <v>52740</v>
          </cell>
          <cell r="M64">
            <v>44829</v>
          </cell>
        </row>
        <row r="65">
          <cell r="H65">
            <v>5</v>
          </cell>
          <cell r="K65">
            <v>850</v>
          </cell>
          <cell r="M65">
            <v>722.5</v>
          </cell>
        </row>
        <row r="66">
          <cell r="H66">
            <v>2</v>
          </cell>
          <cell r="K66">
            <v>3000</v>
          </cell>
          <cell r="M66">
            <v>2550</v>
          </cell>
        </row>
        <row r="67">
          <cell r="H67">
            <v>3</v>
          </cell>
          <cell r="K67">
            <v>33690</v>
          </cell>
          <cell r="M67">
            <v>33690</v>
          </cell>
        </row>
        <row r="68">
          <cell r="H68">
            <v>1</v>
          </cell>
          <cell r="K68">
            <v>590</v>
          </cell>
          <cell r="M68">
            <v>472</v>
          </cell>
        </row>
        <row r="69">
          <cell r="H69">
            <v>1</v>
          </cell>
          <cell r="K69">
            <v>2450</v>
          </cell>
          <cell r="M69">
            <v>2450</v>
          </cell>
        </row>
        <row r="70">
          <cell r="H70">
            <v>1</v>
          </cell>
          <cell r="K70">
            <v>12140</v>
          </cell>
          <cell r="M70">
            <v>10319</v>
          </cell>
        </row>
        <row r="71">
          <cell r="H71">
            <v>5</v>
          </cell>
          <cell r="K71">
            <v>4400</v>
          </cell>
          <cell r="M71">
            <v>3960</v>
          </cell>
        </row>
        <row r="72">
          <cell r="H72">
            <v>2</v>
          </cell>
          <cell r="K72">
            <v>2240</v>
          </cell>
          <cell r="M72">
            <v>2240</v>
          </cell>
        </row>
        <row r="73">
          <cell r="H73">
            <v>3</v>
          </cell>
          <cell r="K73">
            <v>2490</v>
          </cell>
          <cell r="M73">
            <v>2116.5</v>
          </cell>
        </row>
        <row r="74">
          <cell r="H74">
            <v>2</v>
          </cell>
          <cell r="K74">
            <v>3300</v>
          </cell>
          <cell r="M74">
            <v>2970</v>
          </cell>
        </row>
        <row r="75">
          <cell r="H75">
            <v>1</v>
          </cell>
          <cell r="K75">
            <v>250</v>
          </cell>
          <cell r="M75">
            <v>225</v>
          </cell>
        </row>
        <row r="76">
          <cell r="H76">
            <v>1</v>
          </cell>
          <cell r="K76">
            <v>3230</v>
          </cell>
          <cell r="M76">
            <v>2907</v>
          </cell>
        </row>
        <row r="77">
          <cell r="H77">
            <v>5</v>
          </cell>
          <cell r="K77">
            <v>43150</v>
          </cell>
          <cell r="M77">
            <v>40992.5</v>
          </cell>
        </row>
        <row r="78">
          <cell r="H78">
            <v>4</v>
          </cell>
          <cell r="K78">
            <v>69800</v>
          </cell>
          <cell r="M78">
            <v>62820</v>
          </cell>
        </row>
        <row r="79">
          <cell r="H79">
            <v>1</v>
          </cell>
          <cell r="K79">
            <v>1590</v>
          </cell>
          <cell r="M79">
            <v>1431</v>
          </cell>
        </row>
        <row r="80">
          <cell r="H80">
            <v>2</v>
          </cell>
          <cell r="K80">
            <v>50180</v>
          </cell>
          <cell r="M80">
            <v>40144</v>
          </cell>
        </row>
        <row r="81">
          <cell r="H81">
            <v>4</v>
          </cell>
          <cell r="K81">
            <v>3440</v>
          </cell>
          <cell r="M81">
            <v>2924</v>
          </cell>
        </row>
        <row r="82">
          <cell r="H82">
            <v>5</v>
          </cell>
          <cell r="K82">
            <v>269950</v>
          </cell>
          <cell r="M82">
            <v>256452.5</v>
          </cell>
        </row>
        <row r="83">
          <cell r="H83">
            <v>3</v>
          </cell>
          <cell r="K83">
            <v>9450</v>
          </cell>
          <cell r="M83">
            <v>8032.5</v>
          </cell>
        </row>
        <row r="84">
          <cell r="H84">
            <v>1</v>
          </cell>
          <cell r="K84">
            <v>4300</v>
          </cell>
          <cell r="M84">
            <v>3655</v>
          </cell>
        </row>
        <row r="85">
          <cell r="H85">
            <v>4</v>
          </cell>
          <cell r="K85">
            <v>27880</v>
          </cell>
          <cell r="M85">
            <v>23698</v>
          </cell>
        </row>
        <row r="86">
          <cell r="H86">
            <v>2</v>
          </cell>
          <cell r="K86">
            <v>1420</v>
          </cell>
          <cell r="M86">
            <v>1349</v>
          </cell>
        </row>
        <row r="87">
          <cell r="H87">
            <v>4</v>
          </cell>
          <cell r="K87">
            <v>19680</v>
          </cell>
          <cell r="M87">
            <v>18696</v>
          </cell>
        </row>
        <row r="88">
          <cell r="H88">
            <v>2</v>
          </cell>
          <cell r="K88">
            <v>108020</v>
          </cell>
          <cell r="M88">
            <v>102619</v>
          </cell>
        </row>
        <row r="89">
          <cell r="H89">
            <v>4</v>
          </cell>
          <cell r="K89">
            <v>7000</v>
          </cell>
          <cell r="M89">
            <v>5950</v>
          </cell>
        </row>
        <row r="90">
          <cell r="H90">
            <v>1</v>
          </cell>
          <cell r="K90">
            <v>190</v>
          </cell>
          <cell r="M90">
            <v>190</v>
          </cell>
        </row>
        <row r="91">
          <cell r="H91">
            <v>3</v>
          </cell>
          <cell r="K91">
            <v>25140</v>
          </cell>
          <cell r="M91">
            <v>23883</v>
          </cell>
        </row>
        <row r="92">
          <cell r="H92">
            <v>2</v>
          </cell>
          <cell r="K92">
            <v>6000</v>
          </cell>
          <cell r="M92">
            <v>4800</v>
          </cell>
        </row>
        <row r="93">
          <cell r="H93">
            <v>2</v>
          </cell>
          <cell r="K93">
            <v>2920</v>
          </cell>
          <cell r="M93">
            <v>2628</v>
          </cell>
        </row>
        <row r="94">
          <cell r="H94">
            <v>1</v>
          </cell>
          <cell r="K94">
            <v>520</v>
          </cell>
          <cell r="M94">
            <v>416</v>
          </cell>
        </row>
        <row r="95">
          <cell r="H95">
            <v>1</v>
          </cell>
          <cell r="K95">
            <v>7030</v>
          </cell>
          <cell r="M95">
            <v>5975.5</v>
          </cell>
        </row>
        <row r="96">
          <cell r="H96">
            <v>3</v>
          </cell>
          <cell r="K96">
            <v>9330</v>
          </cell>
          <cell r="M96">
            <v>8863.5</v>
          </cell>
        </row>
        <row r="97">
          <cell r="H97">
            <v>1</v>
          </cell>
          <cell r="K97">
            <v>4870</v>
          </cell>
          <cell r="M97">
            <v>4383</v>
          </cell>
        </row>
        <row r="98">
          <cell r="H98">
            <v>2</v>
          </cell>
          <cell r="K98">
            <v>18080</v>
          </cell>
          <cell r="M98">
            <v>15368</v>
          </cell>
        </row>
        <row r="99">
          <cell r="H99">
            <v>5</v>
          </cell>
          <cell r="K99">
            <v>31650</v>
          </cell>
          <cell r="M99">
            <v>26902.5</v>
          </cell>
        </row>
        <row r="100">
          <cell r="H100">
            <v>1</v>
          </cell>
          <cell r="K100">
            <v>8800</v>
          </cell>
          <cell r="M100">
            <v>7480</v>
          </cell>
        </row>
        <row r="101">
          <cell r="H101">
            <v>4</v>
          </cell>
          <cell r="K101">
            <v>2960</v>
          </cell>
          <cell r="M101">
            <v>2960</v>
          </cell>
        </row>
      </sheetData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Maurya" refreshedDate="46280.52071365741" createdVersion="8" refreshedVersion="8" minRefreshableVersion="3" recordCount="100" xr:uid="{D72A22CC-F4BC-4D9C-814B-C7EA6A16A997}">
  <cacheSource type="worksheet">
    <worksheetSource name="Sales_Data"/>
  </cacheSource>
  <cacheFields count="21">
    <cacheField name="Order_ID" numFmtId="0">
      <sharedItems/>
    </cacheField>
    <cacheField name="Order_Date" numFmtId="164">
      <sharedItems containsSemiMixedTypes="0" containsNonDate="0" containsDate="1" containsString="0" minDate="2026-01-04T00:00:00" maxDate="2026-09-01T00:00:00" count="82">
        <d v="2026-08-20T00:00:00"/>
        <d v="2026-05-10T00:00:00"/>
        <d v="2026-03-05T00:00:00"/>
        <d v="2026-06-10T00:00:00"/>
        <d v="2026-08-08T00:00:00"/>
        <d v="2026-02-27T00:00:00"/>
        <d v="2026-05-28T00:00:00"/>
        <d v="2026-07-31T00:00:00"/>
        <d v="2026-02-26T00:00:00"/>
        <d v="2026-05-18T00:00:00"/>
        <d v="2026-03-13T00:00:00"/>
        <d v="2026-05-09T00:00:00"/>
        <d v="2026-07-26T00:00:00"/>
        <d v="2026-02-23T00:00:00"/>
        <d v="2026-05-25T00:00:00"/>
        <d v="2026-08-03T00:00:00"/>
        <d v="2026-06-04T00:00:00"/>
        <d v="2026-02-10T00:00:00"/>
        <d v="2026-05-01T00:00:00"/>
        <d v="2026-03-14T00:00:00"/>
        <d v="2026-04-01T00:00:00"/>
        <d v="2026-07-13T00:00:00"/>
        <d v="2026-04-27T00:00:00"/>
        <d v="2026-08-04T00:00:00"/>
        <d v="2026-04-21T00:00:00"/>
        <d v="2026-02-12T00:00:00"/>
        <d v="2026-06-05T00:00:00"/>
        <d v="2026-02-01T00:00:00"/>
        <d v="2026-03-04T00:00:00"/>
        <d v="2026-05-26T00:00:00"/>
        <d v="2026-08-12T00:00:00"/>
        <d v="2026-04-08T00:00:00"/>
        <d v="2026-04-18T00:00:00"/>
        <d v="2026-06-21T00:00:00"/>
        <d v="2026-03-31T00:00:00"/>
        <d v="2026-03-06T00:00:00"/>
        <d v="2026-06-16T00:00:00"/>
        <d v="2026-01-07T00:00:00"/>
        <d v="2026-02-11T00:00:00"/>
        <d v="2026-01-15T00:00:00"/>
        <d v="2026-07-08T00:00:00"/>
        <d v="2026-06-18T00:00:00"/>
        <d v="2026-03-12T00:00:00"/>
        <d v="2026-03-29T00:00:00"/>
        <d v="2026-05-19T00:00:00"/>
        <d v="2026-03-24T00:00:00"/>
        <d v="2026-08-09T00:00:00"/>
        <d v="2026-05-16T00:00:00"/>
        <d v="2026-04-25T00:00:00"/>
        <d v="2026-03-03T00:00:00"/>
        <d v="2026-08-31T00:00:00"/>
        <d v="2026-05-29T00:00:00"/>
        <d v="2026-01-27T00:00:00"/>
        <d v="2026-04-24T00:00:00"/>
        <d v="2026-04-02T00:00:00"/>
        <d v="2026-08-02T00:00:00"/>
        <d v="2026-01-12T00:00:00"/>
        <d v="2026-06-09T00:00:00"/>
        <d v="2026-01-04T00:00:00"/>
        <d v="2026-07-06T00:00:00"/>
        <d v="2026-06-17T00:00:00"/>
        <d v="2026-03-09T00:00:00"/>
        <d v="2026-01-22T00:00:00"/>
        <d v="2026-08-13T00:00:00"/>
        <d v="2026-07-11T00:00:00"/>
        <d v="2026-07-20T00:00:00"/>
        <d v="2026-04-26T00:00:00"/>
        <d v="2026-07-01T00:00:00"/>
        <d v="2026-03-11T00:00:00"/>
        <d v="2026-06-27T00:00:00"/>
        <d v="2026-05-31T00:00:00"/>
        <d v="2026-01-10T00:00:00"/>
        <d v="2026-06-30T00:00:00"/>
        <d v="2026-02-18T00:00:00"/>
        <d v="2026-05-30T00:00:00"/>
        <d v="2026-01-19T00:00:00"/>
        <d v="2026-02-06T00:00:00"/>
        <d v="2026-07-02T00:00:00"/>
        <d v="2026-05-05T00:00:00"/>
        <d v="2026-01-20T00:00:00"/>
        <d v="2026-07-14T00:00:00"/>
        <d v="2026-06-29T00:00:00"/>
      </sharedItems>
      <fieldGroup par="20"/>
    </cacheField>
    <cacheField name="Customer_Name" numFmtId="0">
      <sharedItems count="75">
        <s v="Aarav Agarwal"/>
        <s v="Aarav Patel"/>
        <s v="Aditya Agarwal"/>
        <s v="Aditya Gupta"/>
        <s v="Aditya Mishra"/>
        <s v="Aditya Sharma"/>
        <s v="Aditya Singh"/>
        <s v="Aditya Verma"/>
        <s v="Aditya Yadav"/>
        <s v="Amit Tiwari"/>
        <s v="Amit Yadav"/>
        <s v="Ananya Agarwal"/>
        <s v="Ananya Tiwari"/>
        <s v="Ananya Verma"/>
        <s v="Arjun Agarwal"/>
        <s v="Arjun Gupta"/>
        <s v="Arjun Mishra"/>
        <s v="Arjun Sharma"/>
        <s v="Arjun Tiwari"/>
        <s v="Arjun Yadav"/>
        <s v="Ishita Mishra"/>
        <s v="Ishita Patel"/>
        <s v="Ishita Verma"/>
        <s v="Ishita Yadav"/>
        <s v="Karan Gupta"/>
        <s v="Karan Singh"/>
        <s v="Karan Tiwari"/>
        <s v="Kavya Agarwal"/>
        <s v="Kavya Gupta"/>
        <s v="Kavya Kumar"/>
        <s v="Kavya Mishra"/>
        <s v="Kavya Patel"/>
        <s v="Kavya Sharma"/>
        <s v="Kavya Singh"/>
        <s v="Kavya Yadav"/>
        <s v="Mohit Agarwal"/>
        <s v="Mohit Gupta"/>
        <s v="Mohit Sharma"/>
        <s v="Mohit Yadav"/>
        <s v="Neha Mishra"/>
        <s v="Neha Patel"/>
        <s v="Neha Singh"/>
        <s v="Nisha Kumar"/>
        <s v="Nisha Tiwari"/>
        <s v="Nisha Yadav"/>
        <s v="Pooja Agarwal"/>
        <s v="Pooja Sharma"/>
        <s v="Pooja Verma"/>
        <s v="Pooja Yadav"/>
        <s v="Priya Gupta"/>
        <s v="Priya Kumar"/>
        <s v="Priya Patel"/>
        <s v="Priya Tiwari"/>
        <s v="Rahul Kumar"/>
        <s v="Riya Kumar"/>
        <s v="Riya Singh"/>
        <s v="Rohan Gupta"/>
        <s v="Rohan Kumar"/>
        <s v="Rohan Verma"/>
        <s v="Rohan Yadav"/>
        <s v="Saurabh Agarwal"/>
        <s v="Saurabh Mishra"/>
        <s v="Saurabh Yadav"/>
        <s v="Simran Agarwal"/>
        <s v="Simran Gupta"/>
        <s v="Simran Mishra"/>
        <s v="Simran Patel"/>
        <s v="Simran Sharma"/>
        <s v="Simran Singh"/>
        <s v="Vikas Agarwal"/>
        <s v="Vikas Kumar"/>
        <s v="Vikas Mishra"/>
        <s v="Vikas Patel"/>
        <s v="Vikas Sharma"/>
        <s v="Vikas Tiwari"/>
      </sharedItems>
    </cacheField>
    <cacheField name="City" numFmtId="0">
      <sharedItems count="10">
        <s v="Delhi"/>
        <s v="Noida"/>
        <s v="Lucknow"/>
        <s v="Kanpur"/>
        <s v="Prayagraj"/>
        <s v="Jaipur"/>
        <s v="Bhopal"/>
        <s v="Agra"/>
        <s v="Patna"/>
        <s v="Varanasi"/>
      </sharedItems>
    </cacheField>
    <cacheField name="State" numFmtId="0">
      <sharedItems/>
    </cacheField>
    <cacheField name="Product" numFmtId="0">
      <sharedItems count="20">
        <s v="Smartphone"/>
        <s v="Power Bank"/>
        <s v="Monitor"/>
        <s v="Speaker"/>
        <s v="Mouse"/>
        <s v="Headphones"/>
        <s v="Keyboard"/>
        <s v="External HDD"/>
        <s v="Laptop"/>
        <s v="Smartwatch"/>
        <s v="Printer"/>
        <s v="Pen Set"/>
        <s v="Backpack"/>
        <s v="Calculator"/>
        <s v="USB Drive"/>
        <s v="Desk"/>
        <s v="Notebook"/>
        <s v="Office Chair"/>
        <s v="Tablet"/>
        <s v="Webcam"/>
      </sharedItems>
    </cacheField>
    <cacheField name="Category" numFmtId="0">
      <sharedItems count="4">
        <s v="Electronics"/>
        <s v="Accessories"/>
        <s v="Stationery"/>
        <s v="Furniture"/>
      </sharedItems>
    </cacheField>
    <cacheField name="Quantity" numFmtId="0">
      <sharedItems containsSemiMixedTypes="0" containsString="0" containsNumber="1" containsInteger="1" minValue="1" maxValue="5" count="5">
        <n v="2"/>
        <n v="4"/>
        <n v="3"/>
        <n v="1"/>
        <n v="5"/>
      </sharedItems>
    </cacheField>
    <cacheField name="Unit_Price" numFmtId="0">
      <sharedItems containsSemiMixedTypes="0" containsString="0" containsNumber="1" containsInteger="1" minValue="160" maxValue="59930"/>
    </cacheField>
    <cacheField name="Discount_%" numFmtId="0">
      <sharedItems containsSemiMixedTypes="0" containsString="0" containsNumber="1" minValue="0" maxValue="0.2"/>
    </cacheField>
    <cacheField name="Gross_Sales" numFmtId="0">
      <sharedItems containsSemiMixedTypes="0" containsString="0" containsNumber="1" containsInteger="1" minValue="190" maxValue="299650"/>
    </cacheField>
    <cacheField name="Discount_Amount" numFmtId="0">
      <sharedItems containsSemiMixedTypes="0" containsString="0" containsNumber="1" minValue="0" maxValue="17394"/>
    </cacheField>
    <cacheField name="Net_Sales" numFmtId="0">
      <sharedItems containsSemiMixedTypes="0" containsString="0" containsNumber="1" minValue="180" maxValue="299650" count="99">
        <n v="45322"/>
        <n v="6600"/>
        <n v="35488"/>
        <n v="8863.5"/>
        <n v="1349"/>
        <n v="1584"/>
        <n v="2450"/>
        <n v="2970"/>
        <n v="3744"/>
        <n v="1782"/>
        <n v="23698"/>
        <n v="102924"/>
        <n v="18696"/>
        <n v="15368"/>
        <n v="621"/>
        <n v="1296"/>
        <n v="920"/>
        <n v="2907"/>
        <n v="2240"/>
        <n v="8320"/>
        <n v="40992.5"/>
        <n v="472"/>
        <n v="544"/>
        <n v="40144"/>
        <n v="118750"/>
        <n v="256452.5"/>
        <n v="1463"/>
        <n v="7424"/>
        <n v="10319"/>
        <n v="2924"/>
        <n v="22300"/>
        <n v="3960"/>
        <n v="5950"/>
        <n v="2888"/>
        <n v="18724.5"/>
        <n v="576"/>
        <n v="9351"/>
        <n v="1431"/>
        <n v="8226"/>
        <n v="400"/>
        <n v="7480"/>
        <n v="27264"/>
        <n v="156546"/>
        <n v="988"/>
        <n v="8032.5"/>
        <n v="148741.5"/>
        <n v="12882"/>
        <n v="2550"/>
        <n v="3655"/>
        <n v="1292"/>
        <n v="324"/>
        <n v="20800"/>
        <n v="62820"/>
        <n v="11760"/>
        <n v="23883"/>
        <n v="11840"/>
        <n v="299650"/>
        <n v="2960"/>
        <n v="5460"/>
        <n v="88777.5"/>
        <n v="190"/>
        <n v="416"/>
        <n v="5975.5"/>
        <n v="39900"/>
        <n v="180"/>
        <n v="26902.5"/>
        <n v="40500"/>
        <n v="24206"/>
        <n v="9664"/>
        <n v="826.5"/>
        <n v="224040"/>
        <n v="31184"/>
        <n v="4383"/>
        <n v="9918"/>
        <n v="3924"/>
        <n v="3840"/>
        <n v="884"/>
        <n v="15408"/>
        <n v="56650"/>
        <n v="722.5"/>
        <n v="35368.5"/>
        <n v="44829"/>
        <n v="7263"/>
        <n v="7552"/>
        <n v="17620"/>
        <n v="2628"/>
        <n v="5895"/>
        <n v="8341"/>
        <n v="2504"/>
        <n v="1624.5"/>
        <n v="18360"/>
        <n v="2116.5"/>
        <n v="4800"/>
        <n v="1060"/>
        <n v="223668"/>
        <n v="102619"/>
        <n v="3204"/>
        <n v="33690"/>
        <n v="225"/>
      </sharedItems>
    </cacheField>
    <cacheField name="Sales_Channel" numFmtId="0">
      <sharedItems count="3">
        <s v="Mobile App"/>
        <s v="Website"/>
        <s v="Marketplace"/>
      </sharedItems>
    </cacheField>
    <cacheField name="Payment_Method" numFmtId="0">
      <sharedItems/>
    </cacheField>
    <cacheField name="Order_Status" numFmtId="0">
      <sharedItems/>
    </cacheField>
    <cacheField name="Salesperson" numFmtId="0">
      <sharedItems/>
    </cacheField>
    <cacheField name="Sales Performance" numFmtId="0">
      <sharedItems/>
    </cacheField>
    <cacheField name="Column1" numFmtId="0">
      <sharedItems/>
    </cacheField>
    <cacheField name="Days (Order_Date)" numFmtId="0" databaseField="0">
      <fieldGroup base="1">
        <rangePr groupBy="days" startDate="2026-01-04T00:00:00" endDate="2026-09-01T00:00:00"/>
        <groupItems count="368">
          <s v="&lt;04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9-2026"/>
        </groupItems>
      </fieldGroup>
    </cacheField>
    <cacheField name="Months (Order_Date)" numFmtId="0" databaseField="0">
      <fieldGroup base="1">
        <rangePr groupBy="months" startDate="2026-01-04T00:00:00" endDate="2026-09-01T00:00:00"/>
        <groupItems count="14">
          <s v="&lt;04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9-2026"/>
        </groupItems>
      </fieldGroup>
    </cacheField>
  </cacheFields>
  <extLst>
    <ext xmlns:x14="http://schemas.microsoft.com/office/spreadsheetml/2009/9/main" uri="{725AE2AE-9491-48be-B2B4-4EB974FC3084}">
      <x14:pivotCacheDefinition pivotCacheId="5031269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49"/>
    <x v="0"/>
    <x v="0"/>
    <x v="0"/>
    <s v="Delhi"/>
    <x v="0"/>
    <x v="0"/>
    <x v="0"/>
    <n v="26660"/>
    <n v="0.15"/>
    <n v="53320"/>
    <n v="7998"/>
    <x v="0"/>
    <x v="0"/>
    <s v="Net Banking"/>
    <s v="Delivered"/>
    <s v="Aman"/>
    <s v="Low"/>
    <s v="Medium"/>
  </r>
  <r>
    <s v="ORD0058"/>
    <x v="1"/>
    <x v="1"/>
    <x v="1"/>
    <s v="Uttar Pradesh"/>
    <x v="1"/>
    <x v="1"/>
    <x v="1"/>
    <n v="1650"/>
    <n v="0"/>
    <n v="6600"/>
    <n v="0"/>
    <x v="1"/>
    <x v="0"/>
    <s v="UPI"/>
    <s v="Delivered"/>
    <s v="Deepak"/>
    <s v="Low"/>
    <s v="Low"/>
  </r>
  <r>
    <s v="ORD0025"/>
    <x v="2"/>
    <x v="2"/>
    <x v="2"/>
    <s v="Uttar Pradesh"/>
    <x v="2"/>
    <x v="0"/>
    <x v="1"/>
    <n v="11090"/>
    <n v="0.2"/>
    <n v="44360"/>
    <n v="8872"/>
    <x v="2"/>
    <x v="1"/>
    <s v="Net Banking"/>
    <s v="Delivered"/>
    <s v="Esha"/>
    <s v="Low"/>
    <s v="Medium"/>
  </r>
  <r>
    <s v="ORD0095"/>
    <x v="3"/>
    <x v="3"/>
    <x v="3"/>
    <s v="Uttar Pradesh"/>
    <x v="3"/>
    <x v="0"/>
    <x v="2"/>
    <n v="3110"/>
    <n v="0.05"/>
    <n v="9330"/>
    <n v="466.5"/>
    <x v="3"/>
    <x v="0"/>
    <s v="UPI"/>
    <s v="Delivered"/>
    <s v="Esha"/>
    <s v="Low"/>
    <s v="Low"/>
  </r>
  <r>
    <s v="ORD0085"/>
    <x v="4"/>
    <x v="4"/>
    <x v="1"/>
    <s v="Uttar Pradesh"/>
    <x v="4"/>
    <x v="1"/>
    <x v="0"/>
    <n v="710"/>
    <n v="0.05"/>
    <n v="1420"/>
    <n v="71"/>
    <x v="4"/>
    <x v="2"/>
    <s v="Net Banking"/>
    <s v="Delivered"/>
    <s v="Deepak"/>
    <s v="Low"/>
    <s v="Low"/>
  </r>
  <r>
    <s v="ORD0054"/>
    <x v="5"/>
    <x v="5"/>
    <x v="4"/>
    <s v="Uttar Pradesh"/>
    <x v="1"/>
    <x v="1"/>
    <x v="3"/>
    <n v="1760"/>
    <n v="0.1"/>
    <n v="1760"/>
    <n v="176"/>
    <x v="5"/>
    <x v="1"/>
    <s v="Credit Card"/>
    <s v="Delivered"/>
    <s v="Aman"/>
    <s v="Low"/>
    <s v="Low"/>
  </r>
  <r>
    <s v="ORD0068"/>
    <x v="6"/>
    <x v="6"/>
    <x v="5"/>
    <s v="Rajasthan"/>
    <x v="5"/>
    <x v="0"/>
    <x v="3"/>
    <n v="2450"/>
    <n v="0"/>
    <n v="2450"/>
    <n v="0"/>
    <x v="6"/>
    <x v="1"/>
    <s v="Cash on Delivery"/>
    <s v="Delivered"/>
    <s v="Chetan"/>
    <s v="Low"/>
    <s v="Low"/>
  </r>
  <r>
    <s v="ORD0073"/>
    <x v="7"/>
    <x v="6"/>
    <x v="2"/>
    <s v="Uttar Pradesh"/>
    <x v="1"/>
    <x v="1"/>
    <x v="0"/>
    <n v="1650"/>
    <n v="0.1"/>
    <n v="3300"/>
    <n v="330"/>
    <x v="7"/>
    <x v="0"/>
    <s v="Cash on Delivery"/>
    <s v="Delivered"/>
    <s v="Esha"/>
    <s v="Low"/>
    <s v="Low"/>
  </r>
  <r>
    <s v="ORD0007"/>
    <x v="8"/>
    <x v="7"/>
    <x v="3"/>
    <s v="Uttar Pradesh"/>
    <x v="6"/>
    <x v="1"/>
    <x v="1"/>
    <n v="1170"/>
    <n v="0.2"/>
    <n v="4680"/>
    <n v="936"/>
    <x v="8"/>
    <x v="1"/>
    <s v="Debit Card"/>
    <s v="Delivered"/>
    <s v="Deepak"/>
    <s v="Low"/>
    <s v="Low"/>
  </r>
  <r>
    <s v="ORD0030"/>
    <x v="1"/>
    <x v="8"/>
    <x v="6"/>
    <s v="Madhya Pradesh"/>
    <x v="4"/>
    <x v="1"/>
    <x v="2"/>
    <n v="660"/>
    <n v="0.1"/>
    <n v="1980"/>
    <n v="198"/>
    <x v="9"/>
    <x v="2"/>
    <s v="Net Banking"/>
    <s v="Delivered"/>
    <s v="Chetan"/>
    <s v="Low"/>
    <s v="Low"/>
  </r>
  <r>
    <s v="ORD0084"/>
    <x v="9"/>
    <x v="9"/>
    <x v="6"/>
    <s v="Madhya Pradesh"/>
    <x v="7"/>
    <x v="0"/>
    <x v="1"/>
    <n v="6970"/>
    <n v="0.15"/>
    <n v="27880"/>
    <n v="4182"/>
    <x v="10"/>
    <x v="2"/>
    <s v="Net Banking"/>
    <s v="Delivered"/>
    <s v="Deepak"/>
    <s v="Low"/>
    <s v="Low"/>
  </r>
  <r>
    <s v="ORD0003"/>
    <x v="10"/>
    <x v="10"/>
    <x v="7"/>
    <s v="Uttar Pradesh"/>
    <x v="8"/>
    <x v="0"/>
    <x v="0"/>
    <n v="57180"/>
    <n v="0.1"/>
    <n v="114360"/>
    <n v="11436"/>
    <x v="11"/>
    <x v="1"/>
    <s v="Net Banking"/>
    <s v="Delivered"/>
    <s v="Aman"/>
    <s v="High"/>
    <s v="High"/>
  </r>
  <r>
    <s v="ORD0086"/>
    <x v="11"/>
    <x v="10"/>
    <x v="0"/>
    <s v="Delhi"/>
    <x v="9"/>
    <x v="0"/>
    <x v="1"/>
    <n v="4920"/>
    <n v="0.05"/>
    <n v="19680"/>
    <n v="984"/>
    <x v="12"/>
    <x v="0"/>
    <s v="UPI"/>
    <s v="Returned"/>
    <s v="Esha"/>
    <s v="Low"/>
    <s v="Low"/>
  </r>
  <r>
    <s v="ORD0097"/>
    <x v="12"/>
    <x v="10"/>
    <x v="8"/>
    <s v="Bihar"/>
    <x v="10"/>
    <x v="0"/>
    <x v="0"/>
    <n v="9040"/>
    <n v="0.15"/>
    <n v="18080"/>
    <n v="2712"/>
    <x v="13"/>
    <x v="0"/>
    <s v="UPI"/>
    <s v="Delivered"/>
    <s v="Bhavna"/>
    <s v="Low"/>
    <s v="Low"/>
  </r>
  <r>
    <s v="ORD0006"/>
    <x v="13"/>
    <x v="11"/>
    <x v="7"/>
    <s v="Uttar Pradesh"/>
    <x v="11"/>
    <x v="2"/>
    <x v="2"/>
    <n v="230"/>
    <n v="0.1"/>
    <n v="690"/>
    <n v="69"/>
    <x v="14"/>
    <x v="2"/>
    <s v="Credit Card"/>
    <s v="Delivered"/>
    <s v="Esha"/>
    <s v="Low"/>
    <s v="Low"/>
  </r>
  <r>
    <s v="ORD0027"/>
    <x v="14"/>
    <x v="12"/>
    <x v="5"/>
    <s v="Rajasthan"/>
    <x v="12"/>
    <x v="1"/>
    <x v="3"/>
    <n v="1620"/>
    <n v="0.2"/>
    <n v="1620"/>
    <n v="324"/>
    <x v="15"/>
    <x v="1"/>
    <s v="Cash on Delivery"/>
    <s v="Returned"/>
    <s v="Chetan"/>
    <s v="Low"/>
    <s v="Low"/>
  </r>
  <r>
    <s v="ORD0021"/>
    <x v="15"/>
    <x v="13"/>
    <x v="2"/>
    <s v="Uttar Pradesh"/>
    <x v="11"/>
    <x v="2"/>
    <x v="4"/>
    <n v="230"/>
    <n v="0.2"/>
    <n v="1150"/>
    <n v="230"/>
    <x v="16"/>
    <x v="1"/>
    <s v="Net Banking"/>
    <s v="Delivered"/>
    <s v="Deepak"/>
    <s v="Low"/>
    <s v="Low"/>
  </r>
  <r>
    <s v="ORD0075"/>
    <x v="16"/>
    <x v="13"/>
    <x v="2"/>
    <s v="Uttar Pradesh"/>
    <x v="3"/>
    <x v="0"/>
    <x v="3"/>
    <n v="3230"/>
    <n v="0.1"/>
    <n v="3230"/>
    <n v="323"/>
    <x v="17"/>
    <x v="2"/>
    <s v="Cash on Delivery"/>
    <s v="Delivered"/>
    <s v="Esha"/>
    <s v="Low"/>
    <s v="Low"/>
  </r>
  <r>
    <s v="ORD0071"/>
    <x v="17"/>
    <x v="14"/>
    <x v="2"/>
    <s v="Uttar Pradesh"/>
    <x v="6"/>
    <x v="1"/>
    <x v="0"/>
    <n v="1120"/>
    <n v="0"/>
    <n v="2240"/>
    <n v="0"/>
    <x v="18"/>
    <x v="0"/>
    <s v="Debit Card"/>
    <s v="Delivered"/>
    <s v="Aman"/>
    <s v="Low"/>
    <s v="Low"/>
  </r>
  <r>
    <s v="ORD0055"/>
    <x v="14"/>
    <x v="15"/>
    <x v="6"/>
    <s v="Madhya Pradesh"/>
    <x v="9"/>
    <x v="0"/>
    <x v="0"/>
    <n v="4160"/>
    <n v="0"/>
    <n v="8320"/>
    <n v="0"/>
    <x v="19"/>
    <x v="0"/>
    <s v="Credit Card"/>
    <s v="Cancelled"/>
    <s v="Esha"/>
    <s v="Low"/>
    <s v="Low"/>
  </r>
  <r>
    <s v="ORD0076"/>
    <x v="18"/>
    <x v="15"/>
    <x v="4"/>
    <s v="Uttar Pradesh"/>
    <x v="10"/>
    <x v="0"/>
    <x v="4"/>
    <n v="8630"/>
    <n v="0.05"/>
    <n v="43150"/>
    <n v="2157.5"/>
    <x v="20"/>
    <x v="1"/>
    <s v="Cash on Delivery"/>
    <s v="Delivered"/>
    <s v="Deepak"/>
    <s v="Low"/>
    <s v="Medium"/>
  </r>
  <r>
    <s v="ORD0067"/>
    <x v="19"/>
    <x v="16"/>
    <x v="9"/>
    <s v="Uttar Pradesh"/>
    <x v="13"/>
    <x v="2"/>
    <x v="3"/>
    <n v="590"/>
    <n v="0.2"/>
    <n v="590"/>
    <n v="118"/>
    <x v="21"/>
    <x v="1"/>
    <s v="UPI"/>
    <s v="Delivered"/>
    <s v="Chetan"/>
    <s v="Low"/>
    <s v="Low"/>
  </r>
  <r>
    <s v="ORD0019"/>
    <x v="20"/>
    <x v="17"/>
    <x v="0"/>
    <s v="Delhi"/>
    <x v="4"/>
    <x v="1"/>
    <x v="3"/>
    <n v="640"/>
    <n v="0.15"/>
    <n v="640"/>
    <n v="96"/>
    <x v="22"/>
    <x v="2"/>
    <s v="UPI"/>
    <s v="Delivered"/>
    <s v="Aman"/>
    <s v="Low"/>
    <s v="Low"/>
  </r>
  <r>
    <s v="ORD0079"/>
    <x v="21"/>
    <x v="17"/>
    <x v="0"/>
    <s v="Delhi"/>
    <x v="0"/>
    <x v="0"/>
    <x v="0"/>
    <n v="25090"/>
    <n v="0.2"/>
    <n v="50180"/>
    <n v="10036"/>
    <x v="23"/>
    <x v="1"/>
    <s v="Debit Card"/>
    <s v="Delivered"/>
    <s v="Esha"/>
    <s v="Low"/>
    <s v="Medium"/>
  </r>
  <r>
    <s v="ORD0045"/>
    <x v="22"/>
    <x v="18"/>
    <x v="5"/>
    <s v="Rajasthan"/>
    <x v="0"/>
    <x v="0"/>
    <x v="4"/>
    <n v="23750"/>
    <n v="0"/>
    <n v="118750"/>
    <n v="0"/>
    <x v="24"/>
    <x v="2"/>
    <s v="Cash on Delivery"/>
    <s v="Delivered"/>
    <s v="Chetan"/>
    <s v="High"/>
    <s v="High"/>
  </r>
  <r>
    <s v="ORD0081"/>
    <x v="23"/>
    <x v="19"/>
    <x v="8"/>
    <s v="Bihar"/>
    <x v="8"/>
    <x v="0"/>
    <x v="4"/>
    <n v="53990"/>
    <n v="0.05"/>
    <n v="269950"/>
    <n v="13497.5"/>
    <x v="25"/>
    <x v="2"/>
    <s v="Credit Card"/>
    <s v="Cancelled"/>
    <s v="Deepak"/>
    <s v="High"/>
    <s v="High"/>
  </r>
  <r>
    <s v="ORD0041"/>
    <x v="24"/>
    <x v="20"/>
    <x v="0"/>
    <s v="Delhi"/>
    <x v="1"/>
    <x v="1"/>
    <x v="3"/>
    <n v="1540"/>
    <n v="0.05"/>
    <n v="1540"/>
    <n v="77"/>
    <x v="26"/>
    <x v="0"/>
    <s v="Net Banking"/>
    <s v="Delivered"/>
    <s v="Deepak"/>
    <s v="Low"/>
    <s v="Low"/>
  </r>
  <r>
    <s v="ORD0015"/>
    <x v="25"/>
    <x v="21"/>
    <x v="8"/>
    <s v="Bihar"/>
    <x v="9"/>
    <x v="0"/>
    <x v="0"/>
    <n v="4640"/>
    <n v="0.2"/>
    <n v="9280"/>
    <n v="1856"/>
    <x v="27"/>
    <x v="1"/>
    <s v="Cash on Delivery"/>
    <s v="Delivered"/>
    <s v="Bhavna"/>
    <s v="Low"/>
    <s v="Low"/>
  </r>
  <r>
    <s v="ORD0069"/>
    <x v="26"/>
    <x v="22"/>
    <x v="2"/>
    <s v="Uttar Pradesh"/>
    <x v="2"/>
    <x v="0"/>
    <x v="3"/>
    <n v="12140"/>
    <n v="0.15"/>
    <n v="12140"/>
    <n v="1821"/>
    <x v="28"/>
    <x v="2"/>
    <s v="Net Banking"/>
    <s v="Delivered"/>
    <s v="Deepak"/>
    <s v="Low"/>
    <s v="Low"/>
  </r>
  <r>
    <s v="ORD0080"/>
    <x v="27"/>
    <x v="22"/>
    <x v="9"/>
    <s v="Uttar Pradesh"/>
    <x v="14"/>
    <x v="1"/>
    <x v="1"/>
    <n v="860"/>
    <n v="0.15"/>
    <n v="3440"/>
    <n v="516"/>
    <x v="29"/>
    <x v="2"/>
    <s v="Credit Card"/>
    <s v="Delivered"/>
    <s v="Chetan"/>
    <s v="Low"/>
    <s v="Low"/>
  </r>
  <r>
    <s v="ORD0043"/>
    <x v="28"/>
    <x v="23"/>
    <x v="7"/>
    <s v="Uttar Pradesh"/>
    <x v="2"/>
    <x v="0"/>
    <x v="0"/>
    <n v="11150"/>
    <n v="0"/>
    <n v="22300"/>
    <n v="0"/>
    <x v="30"/>
    <x v="0"/>
    <s v="Net Banking"/>
    <s v="Returned"/>
    <s v="Esha"/>
    <s v="Low"/>
    <s v="Low"/>
  </r>
  <r>
    <s v="ORD0070"/>
    <x v="29"/>
    <x v="23"/>
    <x v="5"/>
    <s v="Rajasthan"/>
    <x v="14"/>
    <x v="1"/>
    <x v="4"/>
    <n v="880"/>
    <n v="0.1"/>
    <n v="4400"/>
    <n v="440"/>
    <x v="31"/>
    <x v="1"/>
    <s v="Credit Card"/>
    <s v="Delivered"/>
    <s v="Chetan"/>
    <s v="Low"/>
    <s v="Low"/>
  </r>
  <r>
    <s v="ORD0088"/>
    <x v="30"/>
    <x v="23"/>
    <x v="1"/>
    <s v="Uttar Pradesh"/>
    <x v="1"/>
    <x v="1"/>
    <x v="1"/>
    <n v="1750"/>
    <n v="0.15"/>
    <n v="7000"/>
    <n v="1050"/>
    <x v="32"/>
    <x v="1"/>
    <s v="Debit Card"/>
    <s v="Delivered"/>
    <s v="Bhavna"/>
    <s v="Low"/>
    <s v="Low"/>
  </r>
  <r>
    <s v="ORD0022"/>
    <x v="31"/>
    <x v="24"/>
    <x v="5"/>
    <s v="Rajasthan"/>
    <x v="4"/>
    <x v="1"/>
    <x v="1"/>
    <n v="760"/>
    <n v="0.05"/>
    <n v="3040"/>
    <n v="152"/>
    <x v="33"/>
    <x v="0"/>
    <s v="Debit Card"/>
    <s v="Delivered"/>
    <s v="Deepak"/>
    <s v="Low"/>
    <s v="Low"/>
  </r>
  <r>
    <s v="ORD0040"/>
    <x v="32"/>
    <x v="25"/>
    <x v="1"/>
    <s v="Uttar Pradesh"/>
    <x v="15"/>
    <x v="3"/>
    <x v="2"/>
    <n v="6570"/>
    <n v="0.05"/>
    <n v="19710"/>
    <n v="985.5"/>
    <x v="34"/>
    <x v="2"/>
    <s v="Cash on Delivery"/>
    <s v="Delivered"/>
    <s v="Chetan"/>
    <s v="Low"/>
    <s v="Low"/>
  </r>
  <r>
    <s v="ORD0051"/>
    <x v="33"/>
    <x v="25"/>
    <x v="7"/>
    <s v="Uttar Pradesh"/>
    <x v="16"/>
    <x v="2"/>
    <x v="1"/>
    <n v="160"/>
    <n v="0.1"/>
    <n v="640"/>
    <n v="64"/>
    <x v="35"/>
    <x v="0"/>
    <s v="Credit Card"/>
    <s v="Delivered"/>
    <s v="Esha"/>
    <s v="Low"/>
    <s v="Low"/>
  </r>
  <r>
    <s v="ORD0036"/>
    <x v="34"/>
    <x v="26"/>
    <x v="1"/>
    <s v="Uttar Pradesh"/>
    <x v="10"/>
    <x v="0"/>
    <x v="3"/>
    <n v="10390"/>
    <n v="0.1"/>
    <n v="10390"/>
    <n v="1039"/>
    <x v="36"/>
    <x v="0"/>
    <s v="UPI"/>
    <s v="Delivered"/>
    <s v="Aman"/>
    <s v="Low"/>
    <s v="Low"/>
  </r>
  <r>
    <s v="ORD0078"/>
    <x v="35"/>
    <x v="26"/>
    <x v="0"/>
    <s v="Delhi"/>
    <x v="1"/>
    <x v="1"/>
    <x v="3"/>
    <n v="1590"/>
    <n v="0.1"/>
    <n v="1590"/>
    <n v="159"/>
    <x v="37"/>
    <x v="1"/>
    <s v="Cash on Delivery"/>
    <s v="Delivered"/>
    <s v="Deepak"/>
    <s v="Low"/>
    <s v="Low"/>
  </r>
  <r>
    <s v="ORD0050"/>
    <x v="9"/>
    <x v="27"/>
    <x v="1"/>
    <s v="Uttar Pradesh"/>
    <x v="14"/>
    <x v="1"/>
    <x v="1"/>
    <n v="860"/>
    <n v="0.15"/>
    <n v="3440"/>
    <n v="516"/>
    <x v="29"/>
    <x v="1"/>
    <s v="Net Banking"/>
    <s v="Delivered"/>
    <s v="Bhavna"/>
    <s v="Low"/>
    <s v="Low"/>
  </r>
  <r>
    <s v="ORD0028"/>
    <x v="19"/>
    <x v="28"/>
    <x v="9"/>
    <s v="Uttar Pradesh"/>
    <x v="17"/>
    <x v="3"/>
    <x v="3"/>
    <n v="9140"/>
    <n v="0.1"/>
    <n v="9140"/>
    <n v="914"/>
    <x v="38"/>
    <x v="2"/>
    <s v="Cash on Delivery"/>
    <s v="Delivered"/>
    <s v="Aman"/>
    <s v="Low"/>
    <s v="Low"/>
  </r>
  <r>
    <s v="ORD0059"/>
    <x v="36"/>
    <x v="29"/>
    <x v="1"/>
    <s v="Uttar Pradesh"/>
    <x v="11"/>
    <x v="2"/>
    <x v="0"/>
    <n v="250"/>
    <n v="0.2"/>
    <n v="500"/>
    <n v="100"/>
    <x v="39"/>
    <x v="0"/>
    <s v="Net Banking"/>
    <s v="Delivered"/>
    <s v="Esha"/>
    <s v="Low"/>
    <s v="Low"/>
  </r>
  <r>
    <s v="ORD0099"/>
    <x v="37"/>
    <x v="30"/>
    <x v="0"/>
    <s v="Delhi"/>
    <x v="17"/>
    <x v="3"/>
    <x v="3"/>
    <n v="8800"/>
    <n v="0.15"/>
    <n v="8800"/>
    <n v="1320"/>
    <x v="40"/>
    <x v="2"/>
    <s v="Credit Card"/>
    <s v="Delivered"/>
    <s v="Aman"/>
    <s v="Low"/>
    <s v="Low"/>
  </r>
  <r>
    <s v="ORD0002"/>
    <x v="37"/>
    <x v="31"/>
    <x v="4"/>
    <s v="Uttar Pradesh"/>
    <x v="18"/>
    <x v="0"/>
    <x v="0"/>
    <n v="17040"/>
    <n v="0.2"/>
    <n v="34080"/>
    <n v="6816"/>
    <x v="41"/>
    <x v="1"/>
    <s v="Net Banking"/>
    <s v="Delivered"/>
    <s v="Esha"/>
    <s v="Low"/>
    <s v="Medium"/>
  </r>
  <r>
    <s v="ORD0031"/>
    <x v="38"/>
    <x v="31"/>
    <x v="4"/>
    <s v="Uttar Pradesh"/>
    <x v="8"/>
    <x v="0"/>
    <x v="2"/>
    <n v="57980"/>
    <n v="0.1"/>
    <n v="173940"/>
    <n v="17394"/>
    <x v="42"/>
    <x v="2"/>
    <s v="UPI"/>
    <s v="Delivered"/>
    <s v="Aman"/>
    <s v="High"/>
    <s v="High"/>
  </r>
  <r>
    <s v="ORD0023"/>
    <x v="39"/>
    <x v="32"/>
    <x v="8"/>
    <s v="Bihar"/>
    <x v="13"/>
    <x v="2"/>
    <x v="0"/>
    <n v="520"/>
    <n v="0.05"/>
    <n v="1040"/>
    <n v="52"/>
    <x v="43"/>
    <x v="2"/>
    <s v="Debit Card"/>
    <s v="Delivered"/>
    <s v="Aman"/>
    <s v="Low"/>
    <s v="Low"/>
  </r>
  <r>
    <s v="ORD0082"/>
    <x v="18"/>
    <x v="33"/>
    <x v="7"/>
    <s v="Uttar Pradesh"/>
    <x v="19"/>
    <x v="0"/>
    <x v="2"/>
    <n v="3150"/>
    <n v="0.15"/>
    <n v="9450"/>
    <n v="1417.5"/>
    <x v="44"/>
    <x v="0"/>
    <s v="Credit Card"/>
    <s v="Delivered"/>
    <s v="Esha"/>
    <s v="Low"/>
    <s v="Low"/>
  </r>
  <r>
    <s v="ORD0001"/>
    <x v="40"/>
    <x v="34"/>
    <x v="2"/>
    <s v="Uttar Pradesh"/>
    <x v="8"/>
    <x v="0"/>
    <x v="2"/>
    <n v="52190"/>
    <n v="0.05"/>
    <n v="156570"/>
    <n v="7828.5"/>
    <x v="45"/>
    <x v="2"/>
    <s v="Net Banking"/>
    <s v="Delivered"/>
    <s v="Aman"/>
    <s v="High"/>
    <s v="High"/>
  </r>
  <r>
    <s v="ORD0042"/>
    <x v="41"/>
    <x v="35"/>
    <x v="3"/>
    <s v="Uttar Pradesh"/>
    <x v="19"/>
    <x v="0"/>
    <x v="1"/>
    <n v="3390"/>
    <n v="0.05"/>
    <n v="13560"/>
    <n v="678"/>
    <x v="46"/>
    <x v="0"/>
    <s v="UPI"/>
    <s v="Delivered"/>
    <s v="Bhavna"/>
    <s v="Low"/>
    <s v="Low"/>
  </r>
  <r>
    <s v="ORD0065"/>
    <x v="42"/>
    <x v="35"/>
    <x v="2"/>
    <s v="Uttar Pradesh"/>
    <x v="1"/>
    <x v="1"/>
    <x v="0"/>
    <n v="1500"/>
    <n v="0.15"/>
    <n v="3000"/>
    <n v="450"/>
    <x v="47"/>
    <x v="0"/>
    <s v="UPI"/>
    <s v="Delivered"/>
    <s v="Bhavna"/>
    <s v="Low"/>
    <s v="Low"/>
  </r>
  <r>
    <s v="ORD0083"/>
    <x v="43"/>
    <x v="36"/>
    <x v="8"/>
    <s v="Bihar"/>
    <x v="9"/>
    <x v="0"/>
    <x v="3"/>
    <n v="4300"/>
    <n v="0.15"/>
    <n v="4300"/>
    <n v="645"/>
    <x v="48"/>
    <x v="1"/>
    <s v="Debit Card"/>
    <s v="Cancelled"/>
    <s v="Chetan"/>
    <s v="Low"/>
    <s v="Low"/>
  </r>
  <r>
    <s v="ORD0013"/>
    <x v="44"/>
    <x v="37"/>
    <x v="6"/>
    <s v="Madhya Pradesh"/>
    <x v="4"/>
    <x v="1"/>
    <x v="0"/>
    <n v="680"/>
    <n v="0.05"/>
    <n v="1360"/>
    <n v="68"/>
    <x v="49"/>
    <x v="2"/>
    <s v="Debit Card"/>
    <s v="Returned"/>
    <s v="Deepak"/>
    <s v="Low"/>
    <s v="Low"/>
  </r>
  <r>
    <s v="ORD0012"/>
    <x v="11"/>
    <x v="38"/>
    <x v="7"/>
    <s v="Uttar Pradesh"/>
    <x v="16"/>
    <x v="2"/>
    <x v="0"/>
    <n v="180"/>
    <n v="0.1"/>
    <n v="360"/>
    <n v="36"/>
    <x v="50"/>
    <x v="2"/>
    <s v="Debit Card"/>
    <s v="Delivered"/>
    <s v="Esha"/>
    <s v="Low"/>
    <s v="Low"/>
  </r>
  <r>
    <s v="ORD0024"/>
    <x v="17"/>
    <x v="38"/>
    <x v="4"/>
    <s v="Uttar Pradesh"/>
    <x v="7"/>
    <x v="0"/>
    <x v="1"/>
    <n v="6500"/>
    <n v="0.2"/>
    <n v="26000"/>
    <n v="5200"/>
    <x v="51"/>
    <x v="1"/>
    <s v="UPI"/>
    <s v="Delivered"/>
    <s v="Esha"/>
    <s v="Low"/>
    <s v="Low"/>
  </r>
  <r>
    <s v="ORD0077"/>
    <x v="45"/>
    <x v="39"/>
    <x v="5"/>
    <s v="Rajasthan"/>
    <x v="18"/>
    <x v="0"/>
    <x v="1"/>
    <n v="17450"/>
    <n v="0.1"/>
    <n v="69800"/>
    <n v="6980"/>
    <x v="52"/>
    <x v="0"/>
    <s v="Net Banking"/>
    <s v="Delivered"/>
    <s v="Chetan"/>
    <s v="High"/>
    <s v="High"/>
  </r>
  <r>
    <s v="ORD0010"/>
    <x v="46"/>
    <x v="40"/>
    <x v="9"/>
    <s v="Uttar Pradesh"/>
    <x v="19"/>
    <x v="0"/>
    <x v="1"/>
    <n v="2940"/>
    <n v="0"/>
    <n v="11760"/>
    <n v="0"/>
    <x v="53"/>
    <x v="2"/>
    <s v="UPI"/>
    <s v="Delivered"/>
    <s v="Deepak"/>
    <s v="Low"/>
    <s v="Low"/>
  </r>
  <r>
    <s v="ORD0090"/>
    <x v="47"/>
    <x v="41"/>
    <x v="7"/>
    <s v="Uttar Pradesh"/>
    <x v="17"/>
    <x v="3"/>
    <x v="2"/>
    <n v="8380"/>
    <n v="0.05"/>
    <n v="25140"/>
    <n v="1257"/>
    <x v="54"/>
    <x v="1"/>
    <s v="UPI"/>
    <s v="Delivered"/>
    <s v="Esha"/>
    <s v="Low"/>
    <s v="Low"/>
  </r>
  <r>
    <s v="ORD0046"/>
    <x v="48"/>
    <x v="42"/>
    <x v="5"/>
    <s v="Rajasthan"/>
    <x v="3"/>
    <x v="0"/>
    <x v="4"/>
    <n v="2960"/>
    <n v="0.2"/>
    <n v="14800"/>
    <n v="2960"/>
    <x v="55"/>
    <x v="0"/>
    <s v="Credit Card"/>
    <s v="Shipped"/>
    <s v="Chetan"/>
    <s v="Low"/>
    <s v="Low"/>
  </r>
  <r>
    <s v="ORD0062"/>
    <x v="49"/>
    <x v="43"/>
    <x v="8"/>
    <s v="Bihar"/>
    <x v="8"/>
    <x v="0"/>
    <x v="4"/>
    <n v="59930"/>
    <n v="0"/>
    <n v="299650"/>
    <n v="0"/>
    <x v="56"/>
    <x v="1"/>
    <s v="Net Banking"/>
    <s v="Delivered"/>
    <s v="Deepak"/>
    <s v="High"/>
    <s v="High"/>
  </r>
  <r>
    <s v="ORD0100"/>
    <x v="50"/>
    <x v="44"/>
    <x v="5"/>
    <s v="Rajasthan"/>
    <x v="14"/>
    <x v="1"/>
    <x v="1"/>
    <n v="740"/>
    <n v="0"/>
    <n v="2960"/>
    <n v="0"/>
    <x v="57"/>
    <x v="1"/>
    <s v="Credit Card"/>
    <s v="Delivered"/>
    <s v="Esha"/>
    <s v="Low"/>
    <s v="Low"/>
  </r>
  <r>
    <s v="ORD0056"/>
    <x v="51"/>
    <x v="45"/>
    <x v="6"/>
    <s v="Madhya Pradesh"/>
    <x v="5"/>
    <x v="0"/>
    <x v="0"/>
    <n v="2730"/>
    <n v="0"/>
    <n v="5460"/>
    <n v="0"/>
    <x v="58"/>
    <x v="2"/>
    <s v="Net Banking"/>
    <s v="Delivered"/>
    <s v="Deepak"/>
    <s v="Low"/>
    <s v="Low"/>
  </r>
  <r>
    <s v="ORD0057"/>
    <x v="52"/>
    <x v="45"/>
    <x v="3"/>
    <s v="Uttar Pradesh"/>
    <x v="18"/>
    <x v="0"/>
    <x v="4"/>
    <n v="18690"/>
    <n v="0.05"/>
    <n v="93450"/>
    <n v="4672.5"/>
    <x v="59"/>
    <x v="1"/>
    <s v="Cash on Delivery"/>
    <s v="Delivered"/>
    <s v="Aman"/>
    <s v="High"/>
    <s v="High"/>
  </r>
  <r>
    <s v="ORD0089"/>
    <x v="53"/>
    <x v="46"/>
    <x v="2"/>
    <s v="Uttar Pradesh"/>
    <x v="16"/>
    <x v="2"/>
    <x v="3"/>
    <n v="190"/>
    <n v="0"/>
    <n v="190"/>
    <n v="0"/>
    <x v="60"/>
    <x v="1"/>
    <s v="Debit Card"/>
    <s v="Delivered"/>
    <s v="Aman"/>
    <s v="Low"/>
    <s v="Low"/>
  </r>
  <r>
    <s v="ORD0093"/>
    <x v="54"/>
    <x v="46"/>
    <x v="0"/>
    <s v="Delhi"/>
    <x v="13"/>
    <x v="2"/>
    <x v="3"/>
    <n v="520"/>
    <n v="0.2"/>
    <n v="520"/>
    <n v="104"/>
    <x v="61"/>
    <x v="2"/>
    <s v="Net Banking"/>
    <s v="Delivered"/>
    <s v="Chetan"/>
    <s v="Low"/>
    <s v="Low"/>
  </r>
  <r>
    <s v="ORD0094"/>
    <x v="55"/>
    <x v="47"/>
    <x v="4"/>
    <s v="Uttar Pradesh"/>
    <x v="7"/>
    <x v="0"/>
    <x v="3"/>
    <n v="7030"/>
    <n v="0.15"/>
    <n v="7030"/>
    <n v="1054.5"/>
    <x v="62"/>
    <x v="2"/>
    <s v="Debit Card"/>
    <s v="Cancelled"/>
    <s v="Bhavna"/>
    <s v="Low"/>
    <s v="Low"/>
  </r>
  <r>
    <s v="ORD0005"/>
    <x v="56"/>
    <x v="48"/>
    <x v="6"/>
    <s v="Madhya Pradesh"/>
    <x v="17"/>
    <x v="3"/>
    <x v="4"/>
    <n v="7980"/>
    <n v="0"/>
    <n v="39900"/>
    <n v="0"/>
    <x v="63"/>
    <x v="1"/>
    <s v="UPI"/>
    <s v="Delivered"/>
    <s v="Deepak"/>
    <s v="Low"/>
    <s v="Medium"/>
  </r>
  <r>
    <s v="ORD0039"/>
    <x v="57"/>
    <x v="49"/>
    <x v="1"/>
    <s v="Uttar Pradesh"/>
    <x v="16"/>
    <x v="2"/>
    <x v="3"/>
    <n v="200"/>
    <n v="0.1"/>
    <n v="200"/>
    <n v="20"/>
    <x v="64"/>
    <x v="2"/>
    <s v="Debit Card"/>
    <s v="Delivered"/>
    <s v="Deepak"/>
    <s v="Low"/>
    <s v="Low"/>
  </r>
  <r>
    <s v="ORD0098"/>
    <x v="58"/>
    <x v="50"/>
    <x v="3"/>
    <s v="Uttar Pradesh"/>
    <x v="15"/>
    <x v="3"/>
    <x v="4"/>
    <n v="6330"/>
    <n v="0.15"/>
    <n v="31650"/>
    <n v="4747.5"/>
    <x v="65"/>
    <x v="0"/>
    <s v="Debit Card"/>
    <s v="Delivered"/>
    <s v="Esha"/>
    <s v="Low"/>
    <s v="Medium"/>
  </r>
  <r>
    <s v="ORD0004"/>
    <x v="59"/>
    <x v="51"/>
    <x v="1"/>
    <s v="Uttar Pradesh"/>
    <x v="17"/>
    <x v="3"/>
    <x v="4"/>
    <n v="8100"/>
    <n v="0"/>
    <n v="40500"/>
    <n v="0"/>
    <x v="66"/>
    <x v="1"/>
    <s v="Cash on Delivery"/>
    <s v="Delivered"/>
    <s v="Chetan"/>
    <s v="Low"/>
    <s v="Medium"/>
  </r>
  <r>
    <s v="ORD0044"/>
    <x v="60"/>
    <x v="51"/>
    <x v="3"/>
    <s v="Uttar Pradesh"/>
    <x v="15"/>
    <x v="3"/>
    <x v="1"/>
    <n v="6370"/>
    <n v="0.05"/>
    <n v="25480"/>
    <n v="1274"/>
    <x v="67"/>
    <x v="1"/>
    <s v="Credit Card"/>
    <s v="Delivered"/>
    <s v="Esha"/>
    <s v="Low"/>
    <s v="Low"/>
  </r>
  <r>
    <s v="ORD0011"/>
    <x v="46"/>
    <x v="52"/>
    <x v="0"/>
    <s v="Delhi"/>
    <x v="3"/>
    <x v="0"/>
    <x v="1"/>
    <n v="3020"/>
    <n v="0.2"/>
    <n v="12080"/>
    <n v="2416"/>
    <x v="68"/>
    <x v="0"/>
    <s v="Debit Card"/>
    <s v="Cancelled"/>
    <s v="Aman"/>
    <s v="Low"/>
    <s v="Low"/>
  </r>
  <r>
    <s v="ORD0029"/>
    <x v="61"/>
    <x v="52"/>
    <x v="8"/>
    <s v="Bihar"/>
    <x v="14"/>
    <x v="1"/>
    <x v="3"/>
    <n v="870"/>
    <n v="0.05"/>
    <n v="870"/>
    <n v="43.5"/>
    <x v="69"/>
    <x v="1"/>
    <s v="Debit Card"/>
    <s v="Delivered"/>
    <s v="Chetan"/>
    <s v="Low"/>
    <s v="Low"/>
  </r>
  <r>
    <s v="ORD0052"/>
    <x v="62"/>
    <x v="53"/>
    <x v="8"/>
    <s v="Bihar"/>
    <x v="8"/>
    <x v="0"/>
    <x v="1"/>
    <n v="56010"/>
    <n v="0"/>
    <n v="224040"/>
    <n v="0"/>
    <x v="70"/>
    <x v="1"/>
    <s v="UPI"/>
    <s v="Delivered"/>
    <s v="Chetan"/>
    <s v="High"/>
    <s v="High"/>
  </r>
  <r>
    <s v="ORD0008"/>
    <x v="63"/>
    <x v="54"/>
    <x v="7"/>
    <s v="Uttar Pradesh"/>
    <x v="18"/>
    <x v="0"/>
    <x v="0"/>
    <n v="19490"/>
    <n v="0.2"/>
    <n v="38980"/>
    <n v="7796"/>
    <x v="71"/>
    <x v="0"/>
    <s v="Net Banking"/>
    <s v="Delivered"/>
    <s v="Bhavna"/>
    <s v="Low"/>
    <s v="Medium"/>
  </r>
  <r>
    <s v="ORD0096"/>
    <x v="64"/>
    <x v="55"/>
    <x v="1"/>
    <s v="Uttar Pradesh"/>
    <x v="9"/>
    <x v="0"/>
    <x v="3"/>
    <n v="4870"/>
    <n v="0.1"/>
    <n v="4870"/>
    <n v="487"/>
    <x v="72"/>
    <x v="2"/>
    <s v="Debit Card"/>
    <s v="Delivered"/>
    <s v="Esha"/>
    <s v="Low"/>
    <s v="Low"/>
  </r>
  <r>
    <s v="ORD0026"/>
    <x v="33"/>
    <x v="56"/>
    <x v="6"/>
    <s v="Madhya Pradesh"/>
    <x v="19"/>
    <x v="0"/>
    <x v="2"/>
    <n v="3480"/>
    <n v="0.05"/>
    <n v="10440"/>
    <n v="522"/>
    <x v="73"/>
    <x v="0"/>
    <s v="Credit Card"/>
    <s v="Delivered"/>
    <s v="Chetan"/>
    <s v="Low"/>
    <s v="Low"/>
  </r>
  <r>
    <s v="ORD0034"/>
    <x v="65"/>
    <x v="56"/>
    <x v="9"/>
    <s v="Uttar Pradesh"/>
    <x v="6"/>
    <x v="1"/>
    <x v="1"/>
    <n v="1090"/>
    <n v="0.1"/>
    <n v="4360"/>
    <n v="436"/>
    <x v="74"/>
    <x v="1"/>
    <s v="UPI"/>
    <s v="Cancelled"/>
    <s v="Deepak"/>
    <s v="Low"/>
    <s v="Low"/>
  </r>
  <r>
    <s v="ORD0060"/>
    <x v="10"/>
    <x v="57"/>
    <x v="7"/>
    <s v="Uttar Pradesh"/>
    <x v="12"/>
    <x v="1"/>
    <x v="0"/>
    <n v="1920"/>
    <n v="0"/>
    <n v="3840"/>
    <n v="0"/>
    <x v="75"/>
    <x v="2"/>
    <s v="Cash on Delivery"/>
    <s v="Shipped"/>
    <s v="Deepak"/>
    <s v="Low"/>
    <s v="Low"/>
  </r>
  <r>
    <s v="ORD0035"/>
    <x v="34"/>
    <x v="58"/>
    <x v="4"/>
    <s v="Uttar Pradesh"/>
    <x v="13"/>
    <x v="2"/>
    <x v="0"/>
    <n v="520"/>
    <n v="0.15"/>
    <n v="1040"/>
    <n v="156"/>
    <x v="76"/>
    <x v="1"/>
    <s v="Credit Card"/>
    <s v="Delivered"/>
    <s v="Deepak"/>
    <s v="Low"/>
    <s v="Low"/>
  </r>
  <r>
    <s v="ORD0016"/>
    <x v="66"/>
    <x v="59"/>
    <x v="7"/>
    <s v="Uttar Pradesh"/>
    <x v="15"/>
    <x v="3"/>
    <x v="2"/>
    <n v="6420"/>
    <n v="0.2"/>
    <n v="19260"/>
    <n v="3852"/>
    <x v="77"/>
    <x v="0"/>
    <s v="UPI"/>
    <s v="Delivered"/>
    <s v="Esha"/>
    <s v="Low"/>
    <s v="Low"/>
  </r>
  <r>
    <s v="ORD0017"/>
    <x v="67"/>
    <x v="59"/>
    <x v="8"/>
    <s v="Bihar"/>
    <x v="2"/>
    <x v="0"/>
    <x v="4"/>
    <n v="11330"/>
    <n v="0"/>
    <n v="56650"/>
    <n v="0"/>
    <x v="78"/>
    <x v="1"/>
    <s v="Debit Card"/>
    <s v="Delivered"/>
    <s v="Aman"/>
    <s v="High"/>
    <s v="High"/>
  </r>
  <r>
    <s v="ORD0064"/>
    <x v="68"/>
    <x v="59"/>
    <x v="1"/>
    <s v="Uttar Pradesh"/>
    <x v="16"/>
    <x v="2"/>
    <x v="4"/>
    <n v="170"/>
    <n v="0.15"/>
    <n v="850"/>
    <n v="127.5"/>
    <x v="79"/>
    <x v="2"/>
    <s v="Credit Card"/>
    <s v="Delivered"/>
    <s v="Chetan"/>
    <s v="Low"/>
    <s v="Low"/>
  </r>
  <r>
    <s v="ORD0018"/>
    <x v="44"/>
    <x v="60"/>
    <x v="8"/>
    <s v="Bihar"/>
    <x v="2"/>
    <x v="0"/>
    <x v="2"/>
    <n v="12410"/>
    <n v="0.05"/>
    <n v="37230"/>
    <n v="1861.5"/>
    <x v="80"/>
    <x v="0"/>
    <s v="Credit Card"/>
    <s v="Delivered"/>
    <s v="Deepak"/>
    <s v="Low"/>
    <s v="Medium"/>
  </r>
  <r>
    <s v="ORD0063"/>
    <x v="69"/>
    <x v="61"/>
    <x v="5"/>
    <s v="Rajasthan"/>
    <x v="8"/>
    <x v="0"/>
    <x v="3"/>
    <n v="52740"/>
    <n v="0.15"/>
    <n v="52740"/>
    <n v="7911"/>
    <x v="81"/>
    <x v="0"/>
    <s v="Cash on Delivery"/>
    <s v="Delivered"/>
    <s v="Esha"/>
    <s v="Low"/>
    <s v="Medium"/>
  </r>
  <r>
    <s v="ORD0014"/>
    <x v="49"/>
    <x v="62"/>
    <x v="4"/>
    <s v="Uttar Pradesh"/>
    <x v="5"/>
    <x v="0"/>
    <x v="2"/>
    <n v="2690"/>
    <n v="0.1"/>
    <n v="8070"/>
    <n v="807"/>
    <x v="82"/>
    <x v="1"/>
    <s v="Net Banking"/>
    <s v="Delivered"/>
    <s v="Aman"/>
    <s v="Low"/>
    <s v="Low"/>
  </r>
  <r>
    <s v="ORD0009"/>
    <x v="61"/>
    <x v="63"/>
    <x v="7"/>
    <s v="Uttar Pradesh"/>
    <x v="9"/>
    <x v="0"/>
    <x v="0"/>
    <n v="4720"/>
    <n v="0.2"/>
    <n v="9440"/>
    <n v="1888"/>
    <x v="83"/>
    <x v="0"/>
    <s v="Debit Card"/>
    <s v="Delivered"/>
    <s v="Bhavna"/>
    <s v="Low"/>
    <s v="Low"/>
  </r>
  <r>
    <s v="ORD0033"/>
    <x v="20"/>
    <x v="63"/>
    <x v="4"/>
    <s v="Uttar Pradesh"/>
    <x v="17"/>
    <x v="3"/>
    <x v="0"/>
    <n v="8810"/>
    <n v="0"/>
    <n v="17620"/>
    <n v="0"/>
    <x v="84"/>
    <x v="2"/>
    <s v="Credit Card"/>
    <s v="Delivered"/>
    <s v="Bhavna"/>
    <s v="Low"/>
    <s v="Low"/>
  </r>
  <r>
    <s v="ORD0092"/>
    <x v="70"/>
    <x v="64"/>
    <x v="7"/>
    <s v="Uttar Pradesh"/>
    <x v="1"/>
    <x v="1"/>
    <x v="0"/>
    <n v="1460"/>
    <n v="0.1"/>
    <n v="2920"/>
    <n v="292"/>
    <x v="85"/>
    <x v="0"/>
    <s v="Debit Card"/>
    <s v="Delivered"/>
    <s v="Bhavna"/>
    <s v="Low"/>
    <s v="Low"/>
  </r>
  <r>
    <s v="ORD0037"/>
    <x v="71"/>
    <x v="65"/>
    <x v="7"/>
    <s v="Uttar Pradesh"/>
    <x v="6"/>
    <x v="1"/>
    <x v="4"/>
    <n v="1310"/>
    <n v="0.1"/>
    <n v="6550"/>
    <n v="655"/>
    <x v="86"/>
    <x v="2"/>
    <s v="Debit Card"/>
    <s v="Delivered"/>
    <s v="Deepak"/>
    <s v="Low"/>
    <s v="Low"/>
  </r>
  <r>
    <s v="ORD0048"/>
    <x v="72"/>
    <x v="66"/>
    <x v="9"/>
    <s v="Uttar Pradesh"/>
    <x v="9"/>
    <x v="0"/>
    <x v="0"/>
    <n v="4390"/>
    <n v="0.05"/>
    <n v="8780"/>
    <n v="439"/>
    <x v="87"/>
    <x v="0"/>
    <s v="Cash on Delivery"/>
    <s v="Delivered"/>
    <s v="Deepak"/>
    <s v="Low"/>
    <s v="Low"/>
  </r>
  <r>
    <s v="ORD0038"/>
    <x v="73"/>
    <x v="67"/>
    <x v="6"/>
    <s v="Madhya Pradesh"/>
    <x v="19"/>
    <x v="0"/>
    <x v="3"/>
    <n v="3130"/>
    <n v="0.2"/>
    <n v="3130"/>
    <n v="626"/>
    <x v="88"/>
    <x v="2"/>
    <s v="Cash on Delivery"/>
    <s v="Delivered"/>
    <s v="Bhavna"/>
    <s v="Low"/>
    <s v="Low"/>
  </r>
  <r>
    <s v="ORD0020"/>
    <x v="9"/>
    <x v="68"/>
    <x v="0"/>
    <s v="Delhi"/>
    <x v="12"/>
    <x v="1"/>
    <x v="3"/>
    <n v="1710"/>
    <n v="0.05"/>
    <n v="1710"/>
    <n v="85.5"/>
    <x v="89"/>
    <x v="0"/>
    <s v="Net Banking"/>
    <s v="Delivered"/>
    <s v="Bhavna"/>
    <s v="Low"/>
    <s v="Low"/>
  </r>
  <r>
    <s v="ORD0032"/>
    <x v="74"/>
    <x v="68"/>
    <x v="2"/>
    <s v="Uttar Pradesh"/>
    <x v="9"/>
    <x v="0"/>
    <x v="4"/>
    <n v="4080"/>
    <n v="0.1"/>
    <n v="20400"/>
    <n v="2040"/>
    <x v="90"/>
    <x v="1"/>
    <s v="Debit Card"/>
    <s v="Delivered"/>
    <s v="Chetan"/>
    <s v="Low"/>
    <s v="Low"/>
  </r>
  <r>
    <s v="ORD0072"/>
    <x v="75"/>
    <x v="69"/>
    <x v="3"/>
    <s v="Uttar Pradesh"/>
    <x v="14"/>
    <x v="1"/>
    <x v="2"/>
    <n v="830"/>
    <n v="0.15"/>
    <n v="2490"/>
    <n v="373.5"/>
    <x v="91"/>
    <x v="2"/>
    <s v="Credit Card"/>
    <s v="Delivered"/>
    <s v="Deepak"/>
    <s v="Low"/>
    <s v="Low"/>
  </r>
  <r>
    <s v="ORD0091"/>
    <x v="76"/>
    <x v="70"/>
    <x v="0"/>
    <s v="Delhi"/>
    <x v="3"/>
    <x v="0"/>
    <x v="0"/>
    <n v="3000"/>
    <n v="0.2"/>
    <n v="6000"/>
    <n v="1200"/>
    <x v="92"/>
    <x v="0"/>
    <s v="UPI"/>
    <s v="Delivered"/>
    <s v="Deepak"/>
    <s v="Low"/>
    <s v="Low"/>
  </r>
  <r>
    <s v="ORD0047"/>
    <x v="77"/>
    <x v="71"/>
    <x v="8"/>
    <s v="Bihar"/>
    <x v="13"/>
    <x v="2"/>
    <x v="0"/>
    <n v="530"/>
    <n v="0"/>
    <n v="1060"/>
    <n v="0"/>
    <x v="93"/>
    <x v="0"/>
    <s v="Cash on Delivery"/>
    <s v="Delivered"/>
    <s v="Aman"/>
    <s v="Low"/>
    <s v="Low"/>
  </r>
  <r>
    <s v="ORD0061"/>
    <x v="78"/>
    <x v="71"/>
    <x v="1"/>
    <s v="Uttar Pradesh"/>
    <x v="8"/>
    <x v="0"/>
    <x v="1"/>
    <n v="58860"/>
    <n v="0.05"/>
    <n v="235440"/>
    <n v="11772"/>
    <x v="94"/>
    <x v="0"/>
    <s v="Cash on Delivery"/>
    <s v="Delivered"/>
    <s v="Chetan"/>
    <s v="High"/>
    <s v="High"/>
  </r>
  <r>
    <s v="ORD0087"/>
    <x v="79"/>
    <x v="71"/>
    <x v="5"/>
    <s v="Rajasthan"/>
    <x v="8"/>
    <x v="0"/>
    <x v="0"/>
    <n v="54010"/>
    <n v="0.05"/>
    <n v="108020"/>
    <n v="5401"/>
    <x v="95"/>
    <x v="2"/>
    <s v="Net Banking"/>
    <s v="Delivered"/>
    <s v="Aman"/>
    <s v="High"/>
    <s v="High"/>
  </r>
  <r>
    <s v="ORD0053"/>
    <x v="80"/>
    <x v="72"/>
    <x v="0"/>
    <s v="Delhi"/>
    <x v="12"/>
    <x v="1"/>
    <x v="0"/>
    <n v="1780"/>
    <n v="0.1"/>
    <n v="3560"/>
    <n v="356"/>
    <x v="96"/>
    <x v="0"/>
    <s v="UPI"/>
    <s v="Shipped"/>
    <s v="Deepak"/>
    <s v="Low"/>
    <s v="Low"/>
  </r>
  <r>
    <s v="ORD0066"/>
    <x v="67"/>
    <x v="73"/>
    <x v="7"/>
    <s v="Uttar Pradesh"/>
    <x v="2"/>
    <x v="0"/>
    <x v="2"/>
    <n v="11230"/>
    <n v="0"/>
    <n v="33690"/>
    <n v="0"/>
    <x v="97"/>
    <x v="1"/>
    <s v="Cash on Delivery"/>
    <s v="Delivered"/>
    <s v="Chetan"/>
    <s v="Low"/>
    <s v="Medium"/>
  </r>
  <r>
    <s v="ORD0074"/>
    <x v="81"/>
    <x v="74"/>
    <x v="7"/>
    <s v="Uttar Pradesh"/>
    <x v="11"/>
    <x v="2"/>
    <x v="3"/>
    <n v="250"/>
    <n v="0.1"/>
    <n v="250"/>
    <n v="25"/>
    <x v="98"/>
    <x v="2"/>
    <s v="Net Banking"/>
    <s v="Delivered"/>
    <s v="Deepak"/>
    <s v="Low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5C148-67DC-4218-8F53-22F138877F1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5:B26" firstHeaderRow="1" firstDataRow="1" firstDataCol="1"/>
  <pivotFields count="21">
    <pivotField showAll="0"/>
    <pivotField numFmtId="164" showAll="0">
      <items count="83">
        <item x="58"/>
        <item x="37"/>
        <item x="71"/>
        <item x="56"/>
        <item x="39"/>
        <item x="75"/>
        <item x="79"/>
        <item x="62"/>
        <item x="52"/>
        <item x="27"/>
        <item x="76"/>
        <item x="17"/>
        <item x="38"/>
        <item x="25"/>
        <item x="73"/>
        <item x="13"/>
        <item x="8"/>
        <item x="5"/>
        <item x="49"/>
        <item x="28"/>
        <item x="2"/>
        <item x="35"/>
        <item x="61"/>
        <item x="68"/>
        <item x="42"/>
        <item x="10"/>
        <item x="19"/>
        <item x="45"/>
        <item x="43"/>
        <item x="34"/>
        <item x="20"/>
        <item x="54"/>
        <item x="31"/>
        <item x="32"/>
        <item x="24"/>
        <item x="53"/>
        <item x="48"/>
        <item x="66"/>
        <item x="22"/>
        <item x="18"/>
        <item x="78"/>
        <item x="11"/>
        <item x="1"/>
        <item x="47"/>
        <item x="9"/>
        <item x="44"/>
        <item x="14"/>
        <item x="29"/>
        <item x="6"/>
        <item x="51"/>
        <item x="74"/>
        <item x="70"/>
        <item x="16"/>
        <item x="26"/>
        <item x="57"/>
        <item x="3"/>
        <item x="36"/>
        <item x="60"/>
        <item x="41"/>
        <item x="33"/>
        <item x="69"/>
        <item x="81"/>
        <item x="72"/>
        <item x="67"/>
        <item x="77"/>
        <item x="59"/>
        <item x="40"/>
        <item x="64"/>
        <item x="21"/>
        <item x="80"/>
        <item x="65"/>
        <item x="12"/>
        <item x="7"/>
        <item x="55"/>
        <item x="15"/>
        <item x="23"/>
        <item x="4"/>
        <item x="46"/>
        <item x="30"/>
        <item x="63"/>
        <item x="0"/>
        <item x="50"/>
        <item t="default"/>
      </items>
    </pivotField>
    <pivotField showAll="0"/>
    <pivotField axis="axisRow" showAll="0">
      <items count="11">
        <item x="7"/>
        <item x="6"/>
        <item x="0"/>
        <item x="5"/>
        <item x="3"/>
        <item x="2"/>
        <item x="1"/>
        <item x="8"/>
        <item x="4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Net_Sales" fld="12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FADB6-7114-4B80-8A52-E2A3344051B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6" firstHeaderRow="1" firstDataRow="1" firstDataCol="1"/>
  <pivotFields count="21">
    <pivotField showAll="0"/>
    <pivotField numFmtId="164" showAll="0">
      <items count="83">
        <item x="58"/>
        <item x="37"/>
        <item x="71"/>
        <item x="56"/>
        <item x="39"/>
        <item x="75"/>
        <item x="79"/>
        <item x="62"/>
        <item x="52"/>
        <item x="27"/>
        <item x="76"/>
        <item x="17"/>
        <item x="38"/>
        <item x="25"/>
        <item x="73"/>
        <item x="13"/>
        <item x="8"/>
        <item x="5"/>
        <item x="49"/>
        <item x="28"/>
        <item x="2"/>
        <item x="35"/>
        <item x="61"/>
        <item x="68"/>
        <item x="42"/>
        <item x="10"/>
        <item x="19"/>
        <item x="45"/>
        <item x="43"/>
        <item x="34"/>
        <item x="20"/>
        <item x="54"/>
        <item x="31"/>
        <item x="32"/>
        <item x="24"/>
        <item x="53"/>
        <item x="48"/>
        <item x="66"/>
        <item x="22"/>
        <item x="18"/>
        <item x="78"/>
        <item x="11"/>
        <item x="1"/>
        <item x="47"/>
        <item x="9"/>
        <item x="44"/>
        <item x="14"/>
        <item x="29"/>
        <item x="6"/>
        <item x="51"/>
        <item x="74"/>
        <item x="70"/>
        <item x="16"/>
        <item x="26"/>
        <item x="57"/>
        <item x="3"/>
        <item x="36"/>
        <item x="60"/>
        <item x="41"/>
        <item x="33"/>
        <item x="69"/>
        <item x="81"/>
        <item x="72"/>
        <item x="67"/>
        <item x="77"/>
        <item x="59"/>
        <item x="40"/>
        <item x="64"/>
        <item x="21"/>
        <item x="80"/>
        <item x="65"/>
        <item x="12"/>
        <item x="7"/>
        <item x="55"/>
        <item x="15"/>
        <item x="23"/>
        <item x="4"/>
        <item x="46"/>
        <item x="30"/>
        <item x="63"/>
        <item x="0"/>
        <item x="50"/>
        <item t="default"/>
      </items>
    </pivotField>
    <pivotField showAll="0"/>
    <pivotField showAll="0"/>
    <pivotField showAll="0"/>
    <pivotField showAll="0">
      <items count="21">
        <item x="12"/>
        <item x="13"/>
        <item x="15"/>
        <item x="7"/>
        <item x="5"/>
        <item x="6"/>
        <item x="8"/>
        <item x="2"/>
        <item x="4"/>
        <item x="16"/>
        <item x="17"/>
        <item x="11"/>
        <item x="1"/>
        <item x="10"/>
        <item x="0"/>
        <item x="9"/>
        <item x="3"/>
        <item x="18"/>
        <item x="14"/>
        <item x="19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" fld="12" baseField="0" baseItem="0"/>
  </dataFields>
  <formats count="8"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6" type="button" dataOnly="0" labelOnly="1" outline="0" axis="axisRow" fieldPosition="0"/>
    </format>
    <format dxfId="81">
      <pivotArea dataOnly="0" labelOnly="1" fieldPosition="0">
        <references count="1">
          <reference field="6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A428E-AD4C-45C3-9364-1A661A60086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3:B47" firstHeaderRow="1" firstDataRow="1" firstDataCol="1"/>
  <pivotFields count="21">
    <pivotField showAll="0"/>
    <pivotField numFmtId="164" showAll="0">
      <items count="83">
        <item x="58"/>
        <item x="37"/>
        <item x="71"/>
        <item x="56"/>
        <item x="39"/>
        <item x="75"/>
        <item x="79"/>
        <item x="62"/>
        <item x="52"/>
        <item x="27"/>
        <item x="76"/>
        <item x="17"/>
        <item x="38"/>
        <item x="25"/>
        <item x="73"/>
        <item x="13"/>
        <item x="8"/>
        <item x="5"/>
        <item x="49"/>
        <item x="28"/>
        <item x="2"/>
        <item x="35"/>
        <item x="61"/>
        <item x="68"/>
        <item x="42"/>
        <item x="10"/>
        <item x="19"/>
        <item x="45"/>
        <item x="43"/>
        <item x="34"/>
        <item x="20"/>
        <item x="54"/>
        <item x="31"/>
        <item x="32"/>
        <item x="24"/>
        <item x="53"/>
        <item x="48"/>
        <item x="66"/>
        <item x="22"/>
        <item x="18"/>
        <item x="78"/>
        <item x="11"/>
        <item x="1"/>
        <item x="47"/>
        <item x="9"/>
        <item x="44"/>
        <item x="14"/>
        <item x="29"/>
        <item x="6"/>
        <item x="51"/>
        <item x="74"/>
        <item x="70"/>
        <item x="16"/>
        <item x="26"/>
        <item x="57"/>
        <item x="3"/>
        <item x="36"/>
        <item x="60"/>
        <item x="41"/>
        <item x="33"/>
        <item x="69"/>
        <item x="81"/>
        <item x="72"/>
        <item x="67"/>
        <item x="77"/>
        <item x="59"/>
        <item x="40"/>
        <item x="64"/>
        <item x="21"/>
        <item x="80"/>
        <item x="65"/>
        <item x="12"/>
        <item x="7"/>
        <item x="55"/>
        <item x="15"/>
        <item x="23"/>
        <item x="4"/>
        <item x="46"/>
        <item x="30"/>
        <item x="63"/>
        <item x="0"/>
        <item x="50"/>
        <item t="default"/>
      </items>
    </pivotField>
    <pivotField axis="axisRow" showAll="0" maxSubtotal="1">
      <items count="76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x="13"/>
        <item h="1" x="14"/>
        <item h="1" x="15"/>
        <item h="1" x="16"/>
        <item h="1" x="17"/>
        <item x="18"/>
        <item h="1" x="19"/>
        <item h="1" x="20"/>
        <item h="1" x="21"/>
        <item h="1" x="22"/>
        <item x="23"/>
        <item h="1" x="24"/>
        <item h="1" x="25"/>
        <item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x="36"/>
        <item h="1" x="37"/>
        <item h="1" x="38"/>
        <item h="1" x="39"/>
        <item h="1" x="40"/>
        <item h="1" x="41"/>
        <item x="42"/>
        <item h="1" x="43"/>
        <item h="1" x="44"/>
        <item x="45"/>
        <item h="1" x="46"/>
        <item h="1" x="47"/>
        <item h="1" x="48"/>
        <item h="1" x="49"/>
        <item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x="69"/>
        <item h="1" x="70"/>
        <item h="1" x="71"/>
        <item h="1" x="72"/>
        <item h="1" x="73"/>
        <item x="74"/>
        <item t="max"/>
      </items>
    </pivotField>
    <pivotField showAll="0">
      <items count="11">
        <item x="7"/>
        <item x="6"/>
        <item x="0"/>
        <item x="5"/>
        <item x="3"/>
        <item x="2"/>
        <item x="1"/>
        <item x="8"/>
        <item x="4"/>
        <item x="9"/>
        <item t="default"/>
      </items>
    </pivotField>
    <pivotField showAll="0"/>
    <pivotField showAll="0"/>
    <pivotField showAll="0"/>
    <pivotField showAll="0" countASubtotal="1" productSubtotal="1">
      <items count="7">
        <item x="3"/>
        <item x="0"/>
        <item x="2"/>
        <item x="1"/>
        <item x="4"/>
        <item t="countA"/>
        <item t="product"/>
      </items>
    </pivotField>
    <pivotField showAll="0"/>
    <pivotField showAll="0"/>
    <pivotField showAll="0"/>
    <pivotField showAll="0"/>
    <pivotField dataField="1"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4">
    <i>
      <x/>
    </i>
    <i>
      <x v="10"/>
    </i>
    <i>
      <x v="13"/>
    </i>
    <i>
      <x v="18"/>
    </i>
    <i>
      <x v="23"/>
    </i>
    <i>
      <x v="26"/>
    </i>
    <i>
      <x v="36"/>
    </i>
    <i>
      <x v="42"/>
    </i>
    <i>
      <x v="45"/>
    </i>
    <i>
      <x v="50"/>
    </i>
    <i>
      <x v="65"/>
    </i>
    <i>
      <x v="69"/>
    </i>
    <i>
      <x v="74"/>
    </i>
    <i t="grand">
      <x/>
    </i>
  </rowItems>
  <colItems count="1">
    <i/>
  </colItems>
  <dataFields count="1">
    <dataField name="Sum of Net_Sales" fld="12" baseField="0" baseItem="0"/>
  </dataFields>
  <formats count="5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3" type="button" dataOnly="0" labelOnly="1" outline="0"/>
    </format>
    <format dxfId="88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2B2CC-3BA7-41E0-B5F1-2330870621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10" firstHeaderRow="1" firstDataRow="1" firstDataCol="1"/>
  <pivotFields count="21">
    <pivotField showAll="0"/>
    <pivotField axis="axisRow" numFmtId="164" showAll="0">
      <items count="83">
        <item x="58"/>
        <item x="37"/>
        <item x="71"/>
        <item x="56"/>
        <item x="39"/>
        <item x="75"/>
        <item x="79"/>
        <item x="62"/>
        <item x="52"/>
        <item x="27"/>
        <item x="76"/>
        <item x="17"/>
        <item x="38"/>
        <item x="25"/>
        <item x="73"/>
        <item x="13"/>
        <item x="8"/>
        <item x="5"/>
        <item x="49"/>
        <item x="28"/>
        <item x="2"/>
        <item x="35"/>
        <item x="61"/>
        <item x="68"/>
        <item x="42"/>
        <item x="10"/>
        <item x="19"/>
        <item x="45"/>
        <item x="43"/>
        <item x="34"/>
        <item x="20"/>
        <item x="54"/>
        <item x="31"/>
        <item x="32"/>
        <item x="24"/>
        <item x="53"/>
        <item x="48"/>
        <item x="66"/>
        <item x="22"/>
        <item x="18"/>
        <item x="78"/>
        <item x="11"/>
        <item x="1"/>
        <item x="47"/>
        <item x="9"/>
        <item x="44"/>
        <item x="14"/>
        <item x="29"/>
        <item x="6"/>
        <item x="51"/>
        <item x="74"/>
        <item x="70"/>
        <item x="16"/>
        <item x="26"/>
        <item x="57"/>
        <item x="3"/>
        <item x="36"/>
        <item x="60"/>
        <item x="41"/>
        <item x="33"/>
        <item x="69"/>
        <item x="81"/>
        <item x="72"/>
        <item x="67"/>
        <item x="77"/>
        <item x="59"/>
        <item x="40"/>
        <item x="64"/>
        <item x="21"/>
        <item x="80"/>
        <item x="65"/>
        <item x="12"/>
        <item x="7"/>
        <item x="55"/>
        <item x="15"/>
        <item x="23"/>
        <item x="4"/>
        <item x="46"/>
        <item x="30"/>
        <item x="63"/>
        <item x="0"/>
        <item x="50"/>
        <item t="default"/>
      </items>
    </pivotField>
    <pivotField axis="axisRow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20"/>
    <field x="19"/>
    <field x="1"/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Net_Sales" fld="12" baseField="0" baseItem="0"/>
  </dataFields>
  <formats count="30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0" type="button" dataOnly="0" labelOnly="1" outline="0" axis="axisRow" fieldPosition="0"/>
    </format>
    <format dxfId="32">
      <pivotArea dataOnly="0" labelOnly="1" fieldPosition="0">
        <references count="1">
          <reference field="2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0" type="button" dataOnly="0" labelOnly="1" outline="0" axis="axisRow" fieldPosition="0"/>
    </format>
    <format dxfId="26">
      <pivotArea dataOnly="0" labelOnly="1" fieldPosition="0">
        <references count="1">
          <reference field="2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collapsedLevelsAreSubtotals="1" fieldPosition="0">
        <references count="1">
          <reference field="20" count="1">
            <x v="1"/>
          </reference>
        </references>
      </pivotArea>
    </format>
    <format dxfId="22">
      <pivotArea collapsedLevelsAreSubtotals="1" fieldPosition="0">
        <references count="1">
          <reference field="20" count="1">
            <x v="2"/>
          </reference>
        </references>
      </pivotArea>
    </format>
    <format dxfId="21">
      <pivotArea collapsedLevelsAreSubtotals="1" fieldPosition="0">
        <references count="1">
          <reference field="20" count="1">
            <x v="3"/>
          </reference>
        </references>
      </pivotArea>
    </format>
    <format dxfId="20">
      <pivotArea collapsedLevelsAreSubtotals="1" fieldPosition="0">
        <references count="1">
          <reference field="20" count="1">
            <x v="4"/>
          </reference>
        </references>
      </pivotArea>
    </format>
    <format dxfId="19">
      <pivotArea collapsedLevelsAreSubtotals="1" fieldPosition="0">
        <references count="1">
          <reference field="20" count="1">
            <x v="5"/>
          </reference>
        </references>
      </pivotArea>
    </format>
    <format dxfId="18">
      <pivotArea collapsedLevelsAreSubtotals="1" fieldPosition="0">
        <references count="1">
          <reference field="20" count="1">
            <x v="6"/>
          </reference>
        </references>
      </pivotArea>
    </format>
    <format dxfId="17">
      <pivotArea collapsedLevelsAreSubtotals="1" fieldPosition="0">
        <references count="1">
          <reference field="20" count="1">
            <x v="7"/>
          </reference>
        </references>
      </pivotArea>
    </format>
    <format dxfId="16">
      <pivotArea collapsedLevelsAreSubtotals="1" fieldPosition="0">
        <references count="1">
          <reference field="20" count="1">
            <x v="8"/>
          </reference>
        </references>
      </pivotArea>
    </format>
    <format dxfId="15">
      <pivotArea dataOnly="0" labelOnly="1" fieldPosition="0">
        <references count="1">
          <reference field="20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4">
      <pivotArea collapsedLevelsAreSubtotals="1" fieldPosition="0">
        <references count="1">
          <reference field="20" count="1">
            <x v="1"/>
          </reference>
        </references>
      </pivotArea>
    </format>
    <format dxfId="13">
      <pivotArea collapsedLevelsAreSubtotals="1" fieldPosition="0">
        <references count="1">
          <reference field="20" count="1">
            <x v="2"/>
          </reference>
        </references>
      </pivotArea>
    </format>
    <format dxfId="12">
      <pivotArea collapsedLevelsAreSubtotals="1" fieldPosition="0">
        <references count="1">
          <reference field="20" count="1">
            <x v="3"/>
          </reference>
        </references>
      </pivotArea>
    </format>
    <format dxfId="11">
      <pivotArea collapsedLevelsAreSubtotals="1" fieldPosition="0">
        <references count="1">
          <reference field="20" count="1">
            <x v="4"/>
          </reference>
        </references>
      </pivotArea>
    </format>
    <format dxfId="10">
      <pivotArea collapsedLevelsAreSubtotals="1" fieldPosition="0">
        <references count="1">
          <reference field="20" count="1">
            <x v="5"/>
          </reference>
        </references>
      </pivotArea>
    </format>
    <format dxfId="9">
      <pivotArea collapsedLevelsAreSubtotals="1" fieldPosition="0">
        <references count="1">
          <reference field="20" count="1">
            <x v="6"/>
          </reference>
        </references>
      </pivotArea>
    </format>
    <format dxfId="8">
      <pivotArea collapsedLevelsAreSubtotals="1" fieldPosition="0">
        <references count="1">
          <reference field="20" count="1">
            <x v="7"/>
          </reference>
        </references>
      </pivotArea>
    </format>
    <format dxfId="7">
      <pivotArea collapsedLevelsAreSubtotals="1" fieldPosition="0">
        <references count="1">
          <reference field="20" count="1">
            <x v="8"/>
          </reference>
        </references>
      </pivotArea>
    </format>
    <format dxfId="6">
      <pivotArea collapsedLevelsAreSubtotals="1" fieldPosition="0">
        <references count="1">
          <reference field="20" count="1">
            <x v="1"/>
          </reference>
        </references>
      </pivotArea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4CAA2-C51F-43A3-A02C-97901A86C930}" name="Sales_Data" displayName="Sales_Data" ref="A1:S102" totalsRowCount="1" headerRowDxfId="78" dataDxfId="76" totalsRowDxfId="74" headerRowBorderDxfId="77" tableBorderDxfId="75">
  <autoFilter ref="A1:S101" xr:uid="{3934CAA2-C51F-43A3-A02C-97901A86C930}"/>
  <sortState xmlns:xlrd2="http://schemas.microsoft.com/office/spreadsheetml/2017/richdata2" ref="A2:S101">
    <sortCondition ref="C2:C101"/>
  </sortState>
  <tableColumns count="19">
    <tableColumn id="1" xr3:uid="{5941ACA9-963F-4472-8D9E-FFF21323DFCA}" name="Order_ID" dataDxfId="73" totalsRowDxfId="72"/>
    <tableColumn id="2" xr3:uid="{12FDA230-EB8F-4DE1-9F1E-75A10130D9D4}" name="Order_Date" dataDxfId="71" totalsRowDxfId="70"/>
    <tableColumn id="3" xr3:uid="{D466C692-17E5-4258-B6D2-148B93061D64}" name="Customer_Name" dataDxfId="69" totalsRowDxfId="68"/>
    <tableColumn id="4" xr3:uid="{9D129FB4-2353-46EE-885D-A092F2CE754C}" name="City" dataDxfId="67" totalsRowDxfId="66"/>
    <tableColumn id="5" xr3:uid="{ED61F930-FB59-4425-B9EB-AD67F0A4C7F9}" name="State" dataDxfId="65" totalsRowDxfId="64"/>
    <tableColumn id="6" xr3:uid="{E660B5B3-FC52-4D92-B129-A5792CB76511}" name="Product" dataDxfId="63" totalsRowDxfId="62"/>
    <tableColumn id="7" xr3:uid="{4AF259B8-6128-49B0-992C-737DBB940797}" name="Category" dataDxfId="61" totalsRowDxfId="60"/>
    <tableColumn id="8" xr3:uid="{DD06F1D7-B131-4366-A357-661EA9EF0E75}" name="Quantity" dataDxfId="59" totalsRowDxfId="58"/>
    <tableColumn id="9" xr3:uid="{1EF3E347-52A2-4E3E-9502-3D7CC4724AF6}" name="Unit_Price" dataDxfId="57" totalsRowDxfId="56"/>
    <tableColumn id="10" xr3:uid="{2680DF6B-3AA0-4960-BD98-80AF6E3B9947}" name="Discount_%" dataDxfId="55" totalsRowDxfId="54"/>
    <tableColumn id="11" xr3:uid="{9AB6F56F-BBC2-419E-8423-77966E555123}" name="Gross_Sales" dataDxfId="53" totalsRowDxfId="52"/>
    <tableColumn id="12" xr3:uid="{7A24E4CC-5419-46F8-B8CD-C4915C2C09D1}" name="Discount_Amount" dataDxfId="51" totalsRowDxfId="50"/>
    <tableColumn id="13" xr3:uid="{419B5081-3209-4D0A-B93F-336E05A97618}" name="Net_Sales" dataDxfId="49" totalsRowDxfId="48"/>
    <tableColumn id="14" xr3:uid="{8FF63545-E210-446F-A2F8-0089DFEE966D}" name="Sales_Channel" dataDxfId="47" totalsRowDxfId="46"/>
    <tableColumn id="15" xr3:uid="{304B2502-7C72-4AE4-AA44-8FDAFF8FE49A}" name="Payment_Method" dataDxfId="45" totalsRowDxfId="44"/>
    <tableColumn id="16" xr3:uid="{2ABF7DB5-5732-4F9F-BB1A-E6B19276A50D}" name="Order_Status" dataDxfId="43" totalsRowDxfId="42"/>
    <tableColumn id="17" xr3:uid="{51ADE179-DD4A-4291-B758-8DF4023859A5}" name="Salesperson" dataDxfId="41" totalsRowDxfId="40"/>
    <tableColumn id="18" xr3:uid="{59C5D296-5709-417F-9308-0429764062F1}" name="Sales Performance" dataDxfId="39" totalsRowDxfId="38">
      <calculatedColumnFormula>IF(M2&gt;=50000,"High","Low")</calculatedColumnFormula>
    </tableColumn>
    <tableColumn id="19" xr3:uid="{213A8C8A-08A7-4437-B43C-EF6A154CFEC0}" name="Column1" dataDxfId="37" totalsRowDxfId="36">
      <calculatedColumnFormula>IF(M2&gt;=50000,"High",IF(M2&gt;=25000,"Medium","Low"))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58590C-3207-4391-91A0-1DF3BB820EC0}" name="Table2" displayName="Table2" ref="A15:B20" totalsRowShown="0" headerRowDxfId="5" headerRowBorderDxfId="4" tableBorderDxfId="3" totalsRowBorderDxfId="2">
  <autoFilter ref="A15:B20" xr:uid="{EF58590C-3207-4391-91A0-1DF3BB820EC0}"/>
  <tableColumns count="2">
    <tableColumn id="1" xr3:uid="{41178976-B268-4DAC-836C-70D47C04A598}" name="State" dataDxfId="1"/>
    <tableColumn id="2" xr3:uid="{64548DAB-A7BD-4978-A709-C7CD932D07F4}" name="Sales" dataDxfId="0">
      <calculatedColumnFormula>SUMIF(Sales_Data!E:E,A16,Sales_Data!M:M)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9"/>
  <sheetViews>
    <sheetView topLeftCell="A2" zoomScale="110" zoomScaleNormal="110" workbookViewId="0">
      <selection activeCell="E4" sqref="A2:S101"/>
    </sheetView>
  </sheetViews>
  <sheetFormatPr defaultRowHeight="15" x14ac:dyDescent="0.25"/>
  <cols>
    <col min="1" max="1" width="11.140625" style="2" customWidth="1"/>
    <col min="2" max="2" width="13.42578125" style="2" customWidth="1"/>
    <col min="3" max="3" width="30.140625" style="10" bestFit="1" customWidth="1"/>
    <col min="4" max="4" width="9.140625" style="2"/>
    <col min="5" max="5" width="15.7109375" style="2" bestFit="1" customWidth="1"/>
    <col min="6" max="6" width="12.5703125" style="2" bestFit="1" customWidth="1"/>
    <col min="7" max="7" width="11" style="2" customWidth="1"/>
    <col min="8" max="8" width="10.85546875" style="2" customWidth="1"/>
    <col min="9" max="9" width="12.42578125" style="2" customWidth="1"/>
    <col min="10" max="10" width="13.42578125" style="2" customWidth="1"/>
    <col min="11" max="11" width="13.7109375" style="2" customWidth="1"/>
    <col min="12" max="12" width="19" style="2" customWidth="1"/>
    <col min="13" max="13" width="15.85546875" style="2" bestFit="1" customWidth="1"/>
    <col min="14" max="14" width="16" style="2" customWidth="1"/>
    <col min="15" max="15" width="19.140625" style="2" customWidth="1"/>
    <col min="16" max="16" width="14.7109375" style="2" customWidth="1"/>
    <col min="17" max="17" width="13.85546875" style="2" customWidth="1"/>
    <col min="18" max="18" width="22.28515625" style="2" bestFit="1" customWidth="1"/>
    <col min="19" max="16384" width="9.140625" style="2"/>
  </cols>
  <sheetData>
    <row r="1" spans="1:19" x14ac:dyDescent="0.25">
      <c r="A1" s="5" t="s">
        <v>0</v>
      </c>
      <c r="B1" s="5" t="s">
        <v>1</v>
      </c>
      <c r="C1" s="9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8" t="s">
        <v>268</v>
      </c>
      <c r="S1" s="5" t="s">
        <v>265</v>
      </c>
    </row>
    <row r="2" spans="1:19" x14ac:dyDescent="0.25">
      <c r="A2" s="2" t="s">
        <v>160</v>
      </c>
      <c r="B2" s="6">
        <v>46254</v>
      </c>
      <c r="C2" s="10" t="s">
        <v>161</v>
      </c>
      <c r="D2" s="2" t="s">
        <v>73</v>
      </c>
      <c r="E2" s="2" t="s">
        <v>73</v>
      </c>
      <c r="F2" s="2" t="s">
        <v>152</v>
      </c>
      <c r="G2" s="2" t="s">
        <v>22</v>
      </c>
      <c r="H2" s="2">
        <v>2</v>
      </c>
      <c r="I2" s="2">
        <v>26660</v>
      </c>
      <c r="J2" s="2">
        <v>0.15</v>
      </c>
      <c r="K2" s="2">
        <v>53320</v>
      </c>
      <c r="L2" s="2">
        <v>7998</v>
      </c>
      <c r="M2" s="2">
        <v>45322</v>
      </c>
      <c r="N2" s="2" t="s">
        <v>62</v>
      </c>
      <c r="O2" s="2" t="s">
        <v>24</v>
      </c>
      <c r="P2" s="2" t="s">
        <v>25</v>
      </c>
      <c r="Q2" s="2" t="s">
        <v>26</v>
      </c>
      <c r="R2" s="2" t="str">
        <f t="shared" ref="R2:R33" si="0">IF(M2&gt;=50000,"High","Low")</f>
        <v>Low</v>
      </c>
      <c r="S2" s="2" t="str">
        <f t="shared" ref="S2:S33" si="1">IF(M2&gt;=50000,"High",IF(M2&gt;=25000,"Medium","Low"))</f>
        <v>Medium</v>
      </c>
    </row>
    <row r="3" spans="1:19" x14ac:dyDescent="0.25">
      <c r="A3" s="2" t="s">
        <v>176</v>
      </c>
      <c r="B3" s="6">
        <v>46152</v>
      </c>
      <c r="C3" s="10" t="s">
        <v>177</v>
      </c>
      <c r="D3" s="2" t="s">
        <v>38</v>
      </c>
      <c r="E3" s="2" t="s">
        <v>20</v>
      </c>
      <c r="F3" s="2" t="s">
        <v>144</v>
      </c>
      <c r="G3" s="2" t="s">
        <v>58</v>
      </c>
      <c r="H3" s="2">
        <v>4</v>
      </c>
      <c r="I3" s="2">
        <v>1650</v>
      </c>
      <c r="J3" s="2">
        <v>0</v>
      </c>
      <c r="K3" s="2">
        <v>6600</v>
      </c>
      <c r="L3" s="2">
        <v>0</v>
      </c>
      <c r="M3" s="2">
        <v>6600</v>
      </c>
      <c r="N3" s="2" t="s">
        <v>62</v>
      </c>
      <c r="O3" s="2" t="s">
        <v>47</v>
      </c>
      <c r="P3" s="2" t="s">
        <v>25</v>
      </c>
      <c r="Q3" s="2" t="s">
        <v>48</v>
      </c>
      <c r="R3" s="2" t="str">
        <f t="shared" si="0"/>
        <v>Low</v>
      </c>
      <c r="S3" s="2" t="str">
        <f t="shared" si="1"/>
        <v>Low</v>
      </c>
    </row>
    <row r="4" spans="1:19" x14ac:dyDescent="0.25">
      <c r="A4" s="2" t="s">
        <v>113</v>
      </c>
      <c r="B4" s="6">
        <v>46086</v>
      </c>
      <c r="C4" s="10" t="s">
        <v>114</v>
      </c>
      <c r="D4" s="2" t="s">
        <v>19</v>
      </c>
      <c r="E4" s="2" t="s">
        <v>20</v>
      </c>
      <c r="F4" s="2" t="s">
        <v>94</v>
      </c>
      <c r="G4" s="2" t="s">
        <v>22</v>
      </c>
      <c r="H4" s="2">
        <v>4</v>
      </c>
      <c r="I4" s="2">
        <v>11090</v>
      </c>
      <c r="J4" s="2">
        <v>0.2</v>
      </c>
      <c r="K4" s="2">
        <v>44360</v>
      </c>
      <c r="L4" s="2">
        <v>8872</v>
      </c>
      <c r="M4" s="2">
        <v>35488</v>
      </c>
      <c r="N4" s="2" t="s">
        <v>31</v>
      </c>
      <c r="O4" s="2" t="s">
        <v>24</v>
      </c>
      <c r="P4" s="2" t="s">
        <v>25</v>
      </c>
      <c r="Q4" s="2" t="s">
        <v>32</v>
      </c>
      <c r="R4" s="2" t="str">
        <f t="shared" si="0"/>
        <v>Low</v>
      </c>
      <c r="S4" s="2" t="str">
        <f t="shared" si="1"/>
        <v>Medium</v>
      </c>
    </row>
    <row r="5" spans="1:19" x14ac:dyDescent="0.25">
      <c r="A5" s="2" t="s">
        <v>236</v>
      </c>
      <c r="B5" s="6">
        <v>46183</v>
      </c>
      <c r="C5" s="10" t="s">
        <v>237</v>
      </c>
      <c r="D5" s="2" t="s">
        <v>56</v>
      </c>
      <c r="E5" s="2" t="s">
        <v>20</v>
      </c>
      <c r="F5" s="2" t="s">
        <v>74</v>
      </c>
      <c r="G5" s="2" t="s">
        <v>22</v>
      </c>
      <c r="H5" s="2">
        <v>3</v>
      </c>
      <c r="I5" s="2">
        <v>3110</v>
      </c>
      <c r="J5" s="2">
        <v>0.05</v>
      </c>
      <c r="K5" s="2">
        <v>9330</v>
      </c>
      <c r="L5" s="2">
        <v>466.5</v>
      </c>
      <c r="M5" s="2">
        <v>8863.5</v>
      </c>
      <c r="N5" s="2" t="s">
        <v>62</v>
      </c>
      <c r="O5" s="2" t="s">
        <v>47</v>
      </c>
      <c r="P5" s="2" t="s">
        <v>25</v>
      </c>
      <c r="Q5" s="2" t="s">
        <v>32</v>
      </c>
      <c r="R5" s="2" t="str">
        <f t="shared" si="0"/>
        <v>Low</v>
      </c>
      <c r="S5" s="2" t="str">
        <f t="shared" si="1"/>
        <v>Low</v>
      </c>
    </row>
    <row r="6" spans="1:19" x14ac:dyDescent="0.25">
      <c r="A6" s="2" t="s">
        <v>220</v>
      </c>
      <c r="B6" s="6">
        <v>46242</v>
      </c>
      <c r="C6" s="10" t="s">
        <v>221</v>
      </c>
      <c r="D6" s="2" t="s">
        <v>38</v>
      </c>
      <c r="E6" s="2" t="s">
        <v>20</v>
      </c>
      <c r="F6" s="2" t="s">
        <v>81</v>
      </c>
      <c r="G6" s="2" t="s">
        <v>58</v>
      </c>
      <c r="H6" s="2">
        <v>2</v>
      </c>
      <c r="I6" s="2">
        <v>710</v>
      </c>
      <c r="J6" s="2">
        <v>0.05</v>
      </c>
      <c r="K6" s="2">
        <v>1420</v>
      </c>
      <c r="L6" s="2">
        <v>71</v>
      </c>
      <c r="M6" s="2">
        <v>1349</v>
      </c>
      <c r="N6" s="2" t="s">
        <v>23</v>
      </c>
      <c r="O6" s="2" t="s">
        <v>24</v>
      </c>
      <c r="P6" s="2" t="s">
        <v>25</v>
      </c>
      <c r="Q6" s="2" t="s">
        <v>48</v>
      </c>
      <c r="R6" s="2" t="str">
        <f t="shared" si="0"/>
        <v>Low</v>
      </c>
      <c r="S6" s="2" t="str">
        <f t="shared" si="1"/>
        <v>Low</v>
      </c>
    </row>
    <row r="7" spans="1:19" x14ac:dyDescent="0.25">
      <c r="A7" s="2" t="s">
        <v>169</v>
      </c>
      <c r="B7" s="6">
        <v>46080</v>
      </c>
      <c r="C7" s="10" t="s">
        <v>170</v>
      </c>
      <c r="D7" s="2" t="s">
        <v>29</v>
      </c>
      <c r="E7" s="2" t="s">
        <v>20</v>
      </c>
      <c r="F7" s="2" t="s">
        <v>144</v>
      </c>
      <c r="G7" s="2" t="s">
        <v>58</v>
      </c>
      <c r="H7" s="2">
        <v>1</v>
      </c>
      <c r="I7" s="2">
        <v>1760</v>
      </c>
      <c r="J7" s="2">
        <v>0.1</v>
      </c>
      <c r="K7" s="2">
        <v>1760</v>
      </c>
      <c r="L7" s="2">
        <v>176</v>
      </c>
      <c r="M7" s="2">
        <v>1584</v>
      </c>
      <c r="N7" s="2" t="s">
        <v>31</v>
      </c>
      <c r="O7" s="2" t="s">
        <v>53</v>
      </c>
      <c r="P7" s="2" t="s">
        <v>25</v>
      </c>
      <c r="Q7" s="2" t="s">
        <v>26</v>
      </c>
      <c r="R7" s="2" t="str">
        <f t="shared" si="0"/>
        <v>Low</v>
      </c>
      <c r="S7" s="2" t="str">
        <f t="shared" si="1"/>
        <v>Low</v>
      </c>
    </row>
    <row r="8" spans="1:19" x14ac:dyDescent="0.25">
      <c r="A8" s="2" t="s">
        <v>193</v>
      </c>
      <c r="B8" s="6">
        <v>46170</v>
      </c>
      <c r="C8" s="10" t="s">
        <v>194</v>
      </c>
      <c r="D8" s="2" t="s">
        <v>106</v>
      </c>
      <c r="E8" s="2" t="s">
        <v>107</v>
      </c>
      <c r="F8" s="2" t="s">
        <v>85</v>
      </c>
      <c r="G8" s="2" t="s">
        <v>22</v>
      </c>
      <c r="H8" s="2">
        <v>1</v>
      </c>
      <c r="I8" s="2">
        <v>2450</v>
      </c>
      <c r="J8" s="2">
        <v>0</v>
      </c>
      <c r="K8" s="2">
        <v>2450</v>
      </c>
      <c r="L8" s="2">
        <v>0</v>
      </c>
      <c r="M8" s="2">
        <v>2450</v>
      </c>
      <c r="N8" s="2" t="s">
        <v>31</v>
      </c>
      <c r="O8" s="2" t="s">
        <v>41</v>
      </c>
      <c r="P8" s="2" t="s">
        <v>25</v>
      </c>
      <c r="Q8" s="2" t="s">
        <v>42</v>
      </c>
      <c r="R8" s="2" t="str">
        <f t="shared" si="0"/>
        <v>Low</v>
      </c>
      <c r="S8" s="2" t="str">
        <f t="shared" si="1"/>
        <v>Low</v>
      </c>
    </row>
    <row r="9" spans="1:19" x14ac:dyDescent="0.25">
      <c r="A9" s="2" t="s">
        <v>202</v>
      </c>
      <c r="B9" s="6">
        <v>46234</v>
      </c>
      <c r="C9" s="10" t="s">
        <v>194</v>
      </c>
      <c r="D9" s="2" t="s">
        <v>19</v>
      </c>
      <c r="E9" s="2" t="s">
        <v>20</v>
      </c>
      <c r="F9" s="2" t="s">
        <v>144</v>
      </c>
      <c r="G9" s="2" t="s">
        <v>58</v>
      </c>
      <c r="H9" s="2">
        <v>2</v>
      </c>
      <c r="I9" s="2">
        <v>1650</v>
      </c>
      <c r="J9" s="2">
        <v>0.1</v>
      </c>
      <c r="K9" s="2">
        <v>3300</v>
      </c>
      <c r="L9" s="2">
        <v>330</v>
      </c>
      <c r="M9" s="2">
        <v>2970</v>
      </c>
      <c r="N9" s="2" t="s">
        <v>62</v>
      </c>
      <c r="O9" s="2" t="s">
        <v>41</v>
      </c>
      <c r="P9" s="2" t="s">
        <v>25</v>
      </c>
      <c r="Q9" s="2" t="s">
        <v>32</v>
      </c>
      <c r="R9" s="2" t="str">
        <f t="shared" si="0"/>
        <v>Low</v>
      </c>
      <c r="S9" s="2" t="str">
        <f t="shared" si="1"/>
        <v>Low</v>
      </c>
    </row>
    <row r="10" spans="1:19" x14ac:dyDescent="0.25">
      <c r="A10" s="2" t="s">
        <v>54</v>
      </c>
      <c r="B10" s="6">
        <v>46079</v>
      </c>
      <c r="C10" s="10" t="s">
        <v>55</v>
      </c>
      <c r="D10" s="2" t="s">
        <v>56</v>
      </c>
      <c r="E10" s="2" t="s">
        <v>20</v>
      </c>
      <c r="F10" s="2" t="s">
        <v>57</v>
      </c>
      <c r="G10" s="2" t="s">
        <v>58</v>
      </c>
      <c r="H10" s="2">
        <v>4</v>
      </c>
      <c r="I10" s="2">
        <v>1170</v>
      </c>
      <c r="J10" s="2">
        <v>0.2</v>
      </c>
      <c r="K10" s="2">
        <v>4680</v>
      </c>
      <c r="L10" s="2">
        <v>936</v>
      </c>
      <c r="M10" s="2">
        <v>3744</v>
      </c>
      <c r="N10" s="2" t="s">
        <v>31</v>
      </c>
      <c r="O10" s="2" t="s">
        <v>59</v>
      </c>
      <c r="P10" s="2" t="s">
        <v>25</v>
      </c>
      <c r="Q10" s="2" t="s">
        <v>48</v>
      </c>
      <c r="R10" s="2" t="str">
        <f t="shared" si="0"/>
        <v>Low</v>
      </c>
      <c r="S10" s="2" t="str">
        <f t="shared" si="1"/>
        <v>Low</v>
      </c>
    </row>
    <row r="11" spans="1:19" x14ac:dyDescent="0.25">
      <c r="A11" s="2" t="s">
        <v>123</v>
      </c>
      <c r="B11" s="6">
        <v>46152</v>
      </c>
      <c r="C11" s="10" t="s">
        <v>124</v>
      </c>
      <c r="D11" s="2" t="s">
        <v>45</v>
      </c>
      <c r="E11" s="2" t="s">
        <v>46</v>
      </c>
      <c r="F11" s="2" t="s">
        <v>81</v>
      </c>
      <c r="G11" s="2" t="s">
        <v>58</v>
      </c>
      <c r="H11" s="2">
        <v>3</v>
      </c>
      <c r="I11" s="2">
        <v>660</v>
      </c>
      <c r="J11" s="2">
        <v>0.1</v>
      </c>
      <c r="K11" s="2">
        <v>1980</v>
      </c>
      <c r="L11" s="2">
        <v>198</v>
      </c>
      <c r="M11" s="2">
        <v>1782</v>
      </c>
      <c r="N11" s="2" t="s">
        <v>23</v>
      </c>
      <c r="O11" s="2" t="s">
        <v>24</v>
      </c>
      <c r="P11" s="2" t="s">
        <v>25</v>
      </c>
      <c r="Q11" s="2" t="s">
        <v>42</v>
      </c>
      <c r="R11" s="2" t="str">
        <f t="shared" si="0"/>
        <v>Low</v>
      </c>
      <c r="S11" s="2" t="str">
        <f t="shared" si="1"/>
        <v>Low</v>
      </c>
    </row>
    <row r="12" spans="1:19" x14ac:dyDescent="0.25">
      <c r="A12" s="2" t="s">
        <v>218</v>
      </c>
      <c r="B12" s="6">
        <v>46160</v>
      </c>
      <c r="C12" s="10" t="s">
        <v>219</v>
      </c>
      <c r="D12" s="2" t="s">
        <v>45</v>
      </c>
      <c r="E12" s="2" t="s">
        <v>46</v>
      </c>
      <c r="F12" s="2" t="s">
        <v>112</v>
      </c>
      <c r="G12" s="2" t="s">
        <v>22</v>
      </c>
      <c r="H12" s="2">
        <v>4</v>
      </c>
      <c r="I12" s="2">
        <v>6970</v>
      </c>
      <c r="J12" s="2">
        <v>0.15</v>
      </c>
      <c r="K12" s="2">
        <v>27880</v>
      </c>
      <c r="L12" s="2">
        <v>4182</v>
      </c>
      <c r="M12" s="2">
        <v>23698</v>
      </c>
      <c r="N12" s="2" t="s">
        <v>23</v>
      </c>
      <c r="O12" s="2" t="s">
        <v>24</v>
      </c>
      <c r="P12" s="2" t="s">
        <v>25</v>
      </c>
      <c r="Q12" s="2" t="s">
        <v>48</v>
      </c>
      <c r="R12" s="2" t="str">
        <f t="shared" si="0"/>
        <v>Low</v>
      </c>
      <c r="S12" s="2" t="str">
        <f t="shared" si="1"/>
        <v>Low</v>
      </c>
    </row>
    <row r="13" spans="1:19" x14ac:dyDescent="0.25">
      <c r="A13" s="2" t="s">
        <v>33</v>
      </c>
      <c r="B13" s="6">
        <v>46094</v>
      </c>
      <c r="C13" s="10" t="s">
        <v>34</v>
      </c>
      <c r="D13" s="2" t="s">
        <v>35</v>
      </c>
      <c r="E13" s="2" t="s">
        <v>20</v>
      </c>
      <c r="F13" s="2" t="s">
        <v>21</v>
      </c>
      <c r="G13" s="2" t="s">
        <v>22</v>
      </c>
      <c r="H13" s="2">
        <v>2</v>
      </c>
      <c r="I13" s="2">
        <v>57180</v>
      </c>
      <c r="J13" s="2">
        <v>0.1</v>
      </c>
      <c r="K13" s="2">
        <v>114360</v>
      </c>
      <c r="L13" s="2">
        <v>11436</v>
      </c>
      <c r="M13" s="2">
        <v>102924</v>
      </c>
      <c r="N13" s="2" t="s">
        <v>31</v>
      </c>
      <c r="O13" s="2" t="s">
        <v>24</v>
      </c>
      <c r="P13" s="2" t="s">
        <v>25</v>
      </c>
      <c r="Q13" s="2" t="s">
        <v>26</v>
      </c>
      <c r="R13" s="2" t="str">
        <f t="shared" si="0"/>
        <v>High</v>
      </c>
      <c r="S13" s="2" t="str">
        <f t="shared" si="1"/>
        <v>High</v>
      </c>
    </row>
    <row r="14" spans="1:19" x14ac:dyDescent="0.25">
      <c r="A14" s="2" t="s">
        <v>222</v>
      </c>
      <c r="B14" s="6">
        <v>46151</v>
      </c>
      <c r="C14" s="10" t="s">
        <v>34</v>
      </c>
      <c r="D14" s="2" t="s">
        <v>73</v>
      </c>
      <c r="E14" s="2" t="s">
        <v>73</v>
      </c>
      <c r="F14" s="2" t="s">
        <v>66</v>
      </c>
      <c r="G14" s="2" t="s">
        <v>22</v>
      </c>
      <c r="H14" s="2">
        <v>4</v>
      </c>
      <c r="I14" s="2">
        <v>4920</v>
      </c>
      <c r="J14" s="2">
        <v>0.05</v>
      </c>
      <c r="K14" s="2">
        <v>19680</v>
      </c>
      <c r="L14" s="2">
        <v>984</v>
      </c>
      <c r="M14" s="2">
        <v>18696</v>
      </c>
      <c r="N14" s="2" t="s">
        <v>62</v>
      </c>
      <c r="O14" s="2" t="s">
        <v>47</v>
      </c>
      <c r="P14" s="2" t="s">
        <v>82</v>
      </c>
      <c r="Q14" s="2" t="s">
        <v>32</v>
      </c>
      <c r="R14" s="2" t="str">
        <f t="shared" si="0"/>
        <v>Low</v>
      </c>
      <c r="S14" s="2" t="str">
        <f t="shared" si="1"/>
        <v>Low</v>
      </c>
    </row>
    <row r="15" spans="1:19" x14ac:dyDescent="0.25">
      <c r="A15" s="2" t="s">
        <v>240</v>
      </c>
      <c r="B15" s="6">
        <v>46229</v>
      </c>
      <c r="C15" s="10" t="s">
        <v>34</v>
      </c>
      <c r="D15" s="2" t="s">
        <v>88</v>
      </c>
      <c r="E15" s="2" t="s">
        <v>89</v>
      </c>
      <c r="F15" s="2" t="s">
        <v>133</v>
      </c>
      <c r="G15" s="2" t="s">
        <v>22</v>
      </c>
      <c r="H15" s="2">
        <v>2</v>
      </c>
      <c r="I15" s="2">
        <v>9040</v>
      </c>
      <c r="J15" s="2">
        <v>0.15</v>
      </c>
      <c r="K15" s="2">
        <v>18080</v>
      </c>
      <c r="L15" s="2">
        <v>2712</v>
      </c>
      <c r="M15" s="2">
        <v>15368</v>
      </c>
      <c r="N15" s="2" t="s">
        <v>62</v>
      </c>
      <c r="O15" s="2" t="s">
        <v>47</v>
      </c>
      <c r="P15" s="2" t="s">
        <v>25</v>
      </c>
      <c r="Q15" s="2" t="s">
        <v>63</v>
      </c>
      <c r="R15" s="2" t="str">
        <f t="shared" si="0"/>
        <v>Low</v>
      </c>
      <c r="S15" s="2" t="str">
        <f t="shared" si="1"/>
        <v>Low</v>
      </c>
    </row>
    <row r="16" spans="1:19" x14ac:dyDescent="0.25">
      <c r="A16" s="2" t="s">
        <v>49</v>
      </c>
      <c r="B16" s="6">
        <v>46076</v>
      </c>
      <c r="C16" s="10" t="s">
        <v>50</v>
      </c>
      <c r="D16" s="2" t="s">
        <v>35</v>
      </c>
      <c r="E16" s="2" t="s">
        <v>20</v>
      </c>
      <c r="F16" s="2" t="s">
        <v>51</v>
      </c>
      <c r="G16" s="2" t="s">
        <v>52</v>
      </c>
      <c r="H16" s="2">
        <v>3</v>
      </c>
      <c r="I16" s="2">
        <v>230</v>
      </c>
      <c r="J16" s="2">
        <v>0.1</v>
      </c>
      <c r="K16" s="2">
        <v>690</v>
      </c>
      <c r="L16" s="2">
        <v>69</v>
      </c>
      <c r="M16" s="2">
        <v>621</v>
      </c>
      <c r="N16" s="2" t="s">
        <v>23</v>
      </c>
      <c r="O16" s="2" t="s">
        <v>53</v>
      </c>
      <c r="P16" s="2" t="s">
        <v>25</v>
      </c>
      <c r="Q16" s="2" t="s">
        <v>32</v>
      </c>
      <c r="R16" s="2" t="str">
        <f t="shared" si="0"/>
        <v>Low</v>
      </c>
      <c r="S16" s="2" t="str">
        <f t="shared" si="1"/>
        <v>Low</v>
      </c>
    </row>
    <row r="17" spans="1:19" x14ac:dyDescent="0.25">
      <c r="A17" s="2" t="s">
        <v>117</v>
      </c>
      <c r="B17" s="6">
        <v>46167</v>
      </c>
      <c r="C17" s="10" t="s">
        <v>118</v>
      </c>
      <c r="D17" s="2" t="s">
        <v>106</v>
      </c>
      <c r="E17" s="2" t="s">
        <v>107</v>
      </c>
      <c r="F17" s="2" t="s">
        <v>101</v>
      </c>
      <c r="G17" s="2" t="s">
        <v>58</v>
      </c>
      <c r="H17" s="2">
        <v>1</v>
      </c>
      <c r="I17" s="2">
        <v>1620</v>
      </c>
      <c r="J17" s="2">
        <v>0.2</v>
      </c>
      <c r="K17" s="2">
        <v>1620</v>
      </c>
      <c r="L17" s="2">
        <v>324</v>
      </c>
      <c r="M17" s="2">
        <v>1296</v>
      </c>
      <c r="N17" s="2" t="s">
        <v>31</v>
      </c>
      <c r="O17" s="2" t="s">
        <v>41</v>
      </c>
      <c r="P17" s="2" t="s">
        <v>82</v>
      </c>
      <c r="Q17" s="2" t="s">
        <v>42</v>
      </c>
      <c r="R17" s="2" t="str">
        <f t="shared" si="0"/>
        <v>Low</v>
      </c>
      <c r="S17" s="2" t="str">
        <f t="shared" si="1"/>
        <v>Low</v>
      </c>
    </row>
    <row r="18" spans="1:19" x14ac:dyDescent="0.25">
      <c r="A18" s="2" t="s">
        <v>102</v>
      </c>
      <c r="B18" s="6">
        <v>46237</v>
      </c>
      <c r="C18" s="10" t="s">
        <v>103</v>
      </c>
      <c r="D18" s="2" t="s">
        <v>19</v>
      </c>
      <c r="E18" s="2" t="s">
        <v>20</v>
      </c>
      <c r="F18" s="2" t="s">
        <v>51</v>
      </c>
      <c r="G18" s="2" t="s">
        <v>52</v>
      </c>
      <c r="H18" s="2">
        <v>5</v>
      </c>
      <c r="I18" s="2">
        <v>230</v>
      </c>
      <c r="J18" s="2">
        <v>0.2</v>
      </c>
      <c r="K18" s="2">
        <v>1150</v>
      </c>
      <c r="L18" s="2">
        <v>230</v>
      </c>
      <c r="M18" s="2">
        <v>920</v>
      </c>
      <c r="N18" s="2" t="s">
        <v>31</v>
      </c>
      <c r="O18" s="2" t="s">
        <v>24</v>
      </c>
      <c r="P18" s="2" t="s">
        <v>25</v>
      </c>
      <c r="Q18" s="2" t="s">
        <v>48</v>
      </c>
      <c r="R18" s="2" t="str">
        <f t="shared" si="0"/>
        <v>Low</v>
      </c>
      <c r="S18" s="2" t="str">
        <f t="shared" si="1"/>
        <v>Low</v>
      </c>
    </row>
    <row r="19" spans="1:19" x14ac:dyDescent="0.25">
      <c r="A19" s="2" t="s">
        <v>205</v>
      </c>
      <c r="B19" s="6">
        <v>46177</v>
      </c>
      <c r="C19" s="10" t="s">
        <v>103</v>
      </c>
      <c r="D19" s="2" t="s">
        <v>19</v>
      </c>
      <c r="E19" s="2" t="s">
        <v>20</v>
      </c>
      <c r="F19" s="2" t="s">
        <v>74</v>
      </c>
      <c r="G19" s="2" t="s">
        <v>22</v>
      </c>
      <c r="H19" s="2">
        <v>1</v>
      </c>
      <c r="I19" s="2">
        <v>3230</v>
      </c>
      <c r="J19" s="2">
        <v>0.1</v>
      </c>
      <c r="K19" s="2">
        <v>3230</v>
      </c>
      <c r="L19" s="2">
        <v>323</v>
      </c>
      <c r="M19" s="2">
        <v>2907</v>
      </c>
      <c r="N19" s="2" t="s">
        <v>23</v>
      </c>
      <c r="O19" s="2" t="s">
        <v>41</v>
      </c>
      <c r="P19" s="2" t="s">
        <v>25</v>
      </c>
      <c r="Q19" s="2" t="s">
        <v>32</v>
      </c>
      <c r="R19" s="2" t="str">
        <f t="shared" si="0"/>
        <v>Low</v>
      </c>
      <c r="S19" s="2" t="str">
        <f t="shared" si="1"/>
        <v>Low</v>
      </c>
    </row>
    <row r="20" spans="1:19" x14ac:dyDescent="0.25">
      <c r="A20" s="2" t="s">
        <v>198</v>
      </c>
      <c r="B20" s="6">
        <v>46063</v>
      </c>
      <c r="C20" s="10" t="s">
        <v>199</v>
      </c>
      <c r="D20" s="2" t="s">
        <v>19</v>
      </c>
      <c r="E20" s="2" t="s">
        <v>20</v>
      </c>
      <c r="F20" s="2" t="s">
        <v>57</v>
      </c>
      <c r="G20" s="2" t="s">
        <v>58</v>
      </c>
      <c r="H20" s="2">
        <v>2</v>
      </c>
      <c r="I20" s="2">
        <v>1120</v>
      </c>
      <c r="J20" s="2">
        <v>0</v>
      </c>
      <c r="K20" s="2">
        <v>2240</v>
      </c>
      <c r="L20" s="2">
        <v>0</v>
      </c>
      <c r="M20" s="2">
        <v>2240</v>
      </c>
      <c r="N20" s="2" t="s">
        <v>62</v>
      </c>
      <c r="O20" s="2" t="s">
        <v>59</v>
      </c>
      <c r="P20" s="2" t="s">
        <v>25</v>
      </c>
      <c r="Q20" s="2" t="s">
        <v>26</v>
      </c>
      <c r="R20" s="2" t="str">
        <f t="shared" si="0"/>
        <v>Low</v>
      </c>
      <c r="S20" s="2" t="str">
        <f t="shared" si="1"/>
        <v>Low</v>
      </c>
    </row>
    <row r="21" spans="1:19" x14ac:dyDescent="0.25">
      <c r="A21" s="2" t="s">
        <v>171</v>
      </c>
      <c r="B21" s="6">
        <v>46167</v>
      </c>
      <c r="C21" s="10" t="s">
        <v>172</v>
      </c>
      <c r="D21" s="2" t="s">
        <v>45</v>
      </c>
      <c r="E21" s="2" t="s">
        <v>46</v>
      </c>
      <c r="F21" s="2" t="s">
        <v>66</v>
      </c>
      <c r="G21" s="2" t="s">
        <v>22</v>
      </c>
      <c r="H21" s="2">
        <v>2</v>
      </c>
      <c r="I21" s="2">
        <v>4160</v>
      </c>
      <c r="J21" s="2">
        <v>0</v>
      </c>
      <c r="K21" s="2">
        <v>8320</v>
      </c>
      <c r="L21" s="2">
        <v>0</v>
      </c>
      <c r="M21" s="2">
        <v>8320</v>
      </c>
      <c r="N21" s="2" t="s">
        <v>62</v>
      </c>
      <c r="O21" s="2" t="s">
        <v>53</v>
      </c>
      <c r="P21" s="2" t="s">
        <v>75</v>
      </c>
      <c r="Q21" s="2" t="s">
        <v>32</v>
      </c>
      <c r="R21" s="2" t="str">
        <f t="shared" si="0"/>
        <v>Low</v>
      </c>
      <c r="S21" s="2" t="str">
        <f t="shared" si="1"/>
        <v>Low</v>
      </c>
    </row>
    <row r="22" spans="1:19" x14ac:dyDescent="0.25">
      <c r="A22" s="2" t="s">
        <v>206</v>
      </c>
      <c r="B22" s="6">
        <v>46143</v>
      </c>
      <c r="C22" s="10" t="s">
        <v>172</v>
      </c>
      <c r="D22" s="2" t="s">
        <v>29</v>
      </c>
      <c r="E22" s="2" t="s">
        <v>20</v>
      </c>
      <c r="F22" s="2" t="s">
        <v>133</v>
      </c>
      <c r="G22" s="2" t="s">
        <v>22</v>
      </c>
      <c r="H22" s="2">
        <v>5</v>
      </c>
      <c r="I22" s="2">
        <v>8630</v>
      </c>
      <c r="J22" s="2">
        <v>0.05</v>
      </c>
      <c r="K22" s="2">
        <v>43150</v>
      </c>
      <c r="L22" s="2">
        <v>2157.5</v>
      </c>
      <c r="M22" s="2">
        <v>40992.5</v>
      </c>
      <c r="N22" s="2" t="s">
        <v>31</v>
      </c>
      <c r="O22" s="2" t="s">
        <v>41</v>
      </c>
      <c r="P22" s="2" t="s">
        <v>25</v>
      </c>
      <c r="Q22" s="2" t="s">
        <v>48</v>
      </c>
      <c r="R22" s="2" t="str">
        <f t="shared" si="0"/>
        <v>Low</v>
      </c>
      <c r="S22" s="2" t="str">
        <f t="shared" si="1"/>
        <v>Medium</v>
      </c>
    </row>
    <row r="23" spans="1:19" x14ac:dyDescent="0.25">
      <c r="A23" s="2" t="s">
        <v>191</v>
      </c>
      <c r="B23" s="6">
        <v>46095</v>
      </c>
      <c r="C23" s="10" t="s">
        <v>192</v>
      </c>
      <c r="D23" s="2" t="s">
        <v>69</v>
      </c>
      <c r="E23" s="2" t="s">
        <v>20</v>
      </c>
      <c r="F23" s="2" t="s">
        <v>110</v>
      </c>
      <c r="G23" s="2" t="s">
        <v>52</v>
      </c>
      <c r="H23" s="2">
        <v>1</v>
      </c>
      <c r="I23" s="2">
        <v>590</v>
      </c>
      <c r="J23" s="2">
        <v>0.2</v>
      </c>
      <c r="K23" s="2">
        <v>590</v>
      </c>
      <c r="L23" s="2">
        <v>118</v>
      </c>
      <c r="M23" s="2">
        <v>472</v>
      </c>
      <c r="N23" s="2" t="s">
        <v>31</v>
      </c>
      <c r="O23" s="2" t="s">
        <v>47</v>
      </c>
      <c r="P23" s="2" t="s">
        <v>25</v>
      </c>
      <c r="Q23" s="2" t="s">
        <v>42</v>
      </c>
      <c r="R23" s="2" t="str">
        <f t="shared" si="0"/>
        <v>Low</v>
      </c>
      <c r="S23" s="2" t="str">
        <f t="shared" si="1"/>
        <v>Low</v>
      </c>
    </row>
    <row r="24" spans="1:19" x14ac:dyDescent="0.25">
      <c r="A24" s="2" t="s">
        <v>97</v>
      </c>
      <c r="B24" s="6">
        <v>46113</v>
      </c>
      <c r="C24" s="10" t="s">
        <v>98</v>
      </c>
      <c r="D24" s="2" t="s">
        <v>73</v>
      </c>
      <c r="E24" s="2" t="s">
        <v>73</v>
      </c>
      <c r="F24" s="2" t="s">
        <v>81</v>
      </c>
      <c r="G24" s="2" t="s">
        <v>58</v>
      </c>
      <c r="H24" s="2">
        <v>1</v>
      </c>
      <c r="I24" s="2">
        <v>640</v>
      </c>
      <c r="J24" s="2">
        <v>0.15</v>
      </c>
      <c r="K24" s="2">
        <v>640</v>
      </c>
      <c r="L24" s="2">
        <v>96</v>
      </c>
      <c r="M24" s="2">
        <v>544</v>
      </c>
      <c r="N24" s="2" t="s">
        <v>23</v>
      </c>
      <c r="O24" s="2" t="s">
        <v>47</v>
      </c>
      <c r="P24" s="2" t="s">
        <v>25</v>
      </c>
      <c r="Q24" s="2" t="s">
        <v>26</v>
      </c>
      <c r="R24" s="2" t="str">
        <f t="shared" si="0"/>
        <v>Low</v>
      </c>
      <c r="S24" s="2" t="str">
        <f t="shared" si="1"/>
        <v>Low</v>
      </c>
    </row>
    <row r="25" spans="1:19" x14ac:dyDescent="0.25">
      <c r="A25" s="2" t="s">
        <v>210</v>
      </c>
      <c r="B25" s="6">
        <v>46216</v>
      </c>
      <c r="C25" s="10" t="s">
        <v>98</v>
      </c>
      <c r="D25" s="2" t="s">
        <v>73</v>
      </c>
      <c r="E25" s="2" t="s">
        <v>73</v>
      </c>
      <c r="F25" s="2" t="s">
        <v>152</v>
      </c>
      <c r="G25" s="2" t="s">
        <v>22</v>
      </c>
      <c r="H25" s="2">
        <v>2</v>
      </c>
      <c r="I25" s="2">
        <v>25090</v>
      </c>
      <c r="J25" s="2">
        <v>0.2</v>
      </c>
      <c r="K25" s="2">
        <v>50180</v>
      </c>
      <c r="L25" s="2">
        <v>10036</v>
      </c>
      <c r="M25" s="2">
        <v>40144</v>
      </c>
      <c r="N25" s="2" t="s">
        <v>31</v>
      </c>
      <c r="O25" s="2" t="s">
        <v>59</v>
      </c>
      <c r="P25" s="2" t="s">
        <v>25</v>
      </c>
      <c r="Q25" s="2" t="s">
        <v>32</v>
      </c>
      <c r="R25" s="2" t="str">
        <f t="shared" si="0"/>
        <v>Low</v>
      </c>
      <c r="S25" s="2" t="str">
        <f t="shared" si="1"/>
        <v>Medium</v>
      </c>
    </row>
    <row r="26" spans="1:19" x14ac:dyDescent="0.25">
      <c r="A26" s="2" t="s">
        <v>150</v>
      </c>
      <c r="B26" s="6">
        <v>46139</v>
      </c>
      <c r="C26" s="10" t="s">
        <v>151</v>
      </c>
      <c r="D26" s="2" t="s">
        <v>106</v>
      </c>
      <c r="E26" s="2" t="s">
        <v>107</v>
      </c>
      <c r="F26" s="2" t="s">
        <v>152</v>
      </c>
      <c r="G26" s="2" t="s">
        <v>22</v>
      </c>
      <c r="H26" s="2">
        <v>5</v>
      </c>
      <c r="I26" s="2">
        <v>23750</v>
      </c>
      <c r="J26" s="2">
        <v>0</v>
      </c>
      <c r="K26" s="2">
        <v>118750</v>
      </c>
      <c r="L26" s="2">
        <v>0</v>
      </c>
      <c r="M26" s="2">
        <v>118750</v>
      </c>
      <c r="N26" s="2" t="s">
        <v>23</v>
      </c>
      <c r="O26" s="2" t="s">
        <v>41</v>
      </c>
      <c r="P26" s="2" t="s">
        <v>25</v>
      </c>
      <c r="Q26" s="2" t="s">
        <v>42</v>
      </c>
      <c r="R26" s="2" t="str">
        <f t="shared" si="0"/>
        <v>High</v>
      </c>
      <c r="S26" s="2" t="str">
        <f t="shared" si="1"/>
        <v>High</v>
      </c>
    </row>
    <row r="27" spans="1:19" x14ac:dyDescent="0.25">
      <c r="A27" s="2" t="s">
        <v>212</v>
      </c>
      <c r="B27" s="6">
        <v>46238</v>
      </c>
      <c r="C27" s="10" t="s">
        <v>213</v>
      </c>
      <c r="D27" s="2" t="s">
        <v>88</v>
      </c>
      <c r="E27" s="2" t="s">
        <v>89</v>
      </c>
      <c r="F27" s="2" t="s">
        <v>21</v>
      </c>
      <c r="G27" s="2" t="s">
        <v>22</v>
      </c>
      <c r="H27" s="2">
        <v>5</v>
      </c>
      <c r="I27" s="2">
        <v>53990</v>
      </c>
      <c r="J27" s="2">
        <v>0.05</v>
      </c>
      <c r="K27" s="2">
        <v>269950</v>
      </c>
      <c r="L27" s="2">
        <v>13497.5</v>
      </c>
      <c r="M27" s="2">
        <v>256452.5</v>
      </c>
      <c r="N27" s="2" t="s">
        <v>23</v>
      </c>
      <c r="O27" s="2" t="s">
        <v>53</v>
      </c>
      <c r="P27" s="2" t="s">
        <v>75</v>
      </c>
      <c r="Q27" s="2" t="s">
        <v>48</v>
      </c>
      <c r="R27" s="2" t="str">
        <f t="shared" si="0"/>
        <v>High</v>
      </c>
      <c r="S27" s="2" t="str">
        <f t="shared" si="1"/>
        <v>High</v>
      </c>
    </row>
    <row r="28" spans="1:19" x14ac:dyDescent="0.25">
      <c r="A28" s="2" t="s">
        <v>142</v>
      </c>
      <c r="B28" s="6">
        <v>46133</v>
      </c>
      <c r="C28" s="10" t="s">
        <v>143</v>
      </c>
      <c r="D28" s="2" t="s">
        <v>73</v>
      </c>
      <c r="E28" s="2" t="s">
        <v>73</v>
      </c>
      <c r="F28" s="2" t="s">
        <v>144</v>
      </c>
      <c r="G28" s="2" t="s">
        <v>58</v>
      </c>
      <c r="H28" s="2">
        <v>1</v>
      </c>
      <c r="I28" s="2">
        <v>1540</v>
      </c>
      <c r="J28" s="2">
        <v>0.05</v>
      </c>
      <c r="K28" s="2">
        <v>1540</v>
      </c>
      <c r="L28" s="2">
        <v>77</v>
      </c>
      <c r="M28" s="2">
        <v>1463</v>
      </c>
      <c r="N28" s="2" t="s">
        <v>62</v>
      </c>
      <c r="O28" s="2" t="s">
        <v>24</v>
      </c>
      <c r="P28" s="2" t="s">
        <v>25</v>
      </c>
      <c r="Q28" s="2" t="s">
        <v>48</v>
      </c>
      <c r="R28" s="2" t="str">
        <f t="shared" si="0"/>
        <v>Low</v>
      </c>
      <c r="S28" s="2" t="str">
        <f t="shared" si="1"/>
        <v>Low</v>
      </c>
    </row>
    <row r="29" spans="1:19" x14ac:dyDescent="0.25">
      <c r="A29" s="2" t="s">
        <v>86</v>
      </c>
      <c r="B29" s="6">
        <v>46065</v>
      </c>
      <c r="C29" s="10" t="s">
        <v>87</v>
      </c>
      <c r="D29" s="2" t="s">
        <v>88</v>
      </c>
      <c r="E29" s="2" t="s">
        <v>89</v>
      </c>
      <c r="F29" s="2" t="s">
        <v>66</v>
      </c>
      <c r="G29" s="2" t="s">
        <v>22</v>
      </c>
      <c r="H29" s="2">
        <v>2</v>
      </c>
      <c r="I29" s="2">
        <v>4640</v>
      </c>
      <c r="J29" s="2">
        <v>0.2</v>
      </c>
      <c r="K29" s="2">
        <v>9280</v>
      </c>
      <c r="L29" s="2">
        <v>1856</v>
      </c>
      <c r="M29" s="2">
        <v>7424</v>
      </c>
      <c r="N29" s="2" t="s">
        <v>31</v>
      </c>
      <c r="O29" s="2" t="s">
        <v>41</v>
      </c>
      <c r="P29" s="2" t="s">
        <v>25</v>
      </c>
      <c r="Q29" s="2" t="s">
        <v>63</v>
      </c>
      <c r="R29" s="2" t="str">
        <f t="shared" si="0"/>
        <v>Low</v>
      </c>
      <c r="S29" s="2" t="str">
        <f t="shared" si="1"/>
        <v>Low</v>
      </c>
    </row>
    <row r="30" spans="1:19" x14ac:dyDescent="0.25">
      <c r="A30" s="2" t="s">
        <v>195</v>
      </c>
      <c r="B30" s="6">
        <v>46178</v>
      </c>
      <c r="C30" s="10" t="s">
        <v>196</v>
      </c>
      <c r="D30" s="2" t="s">
        <v>19</v>
      </c>
      <c r="E30" s="2" t="s">
        <v>20</v>
      </c>
      <c r="F30" s="2" t="s">
        <v>94</v>
      </c>
      <c r="G30" s="2" t="s">
        <v>22</v>
      </c>
      <c r="H30" s="2">
        <v>1</v>
      </c>
      <c r="I30" s="2">
        <v>12140</v>
      </c>
      <c r="J30" s="2">
        <v>0.15</v>
      </c>
      <c r="K30" s="2">
        <v>12140</v>
      </c>
      <c r="L30" s="2">
        <v>1821</v>
      </c>
      <c r="M30" s="2">
        <v>10319</v>
      </c>
      <c r="N30" s="2" t="s">
        <v>23</v>
      </c>
      <c r="O30" s="2" t="s">
        <v>24</v>
      </c>
      <c r="P30" s="2" t="s">
        <v>25</v>
      </c>
      <c r="Q30" s="2" t="s">
        <v>48</v>
      </c>
      <c r="R30" s="2" t="str">
        <f t="shared" si="0"/>
        <v>Low</v>
      </c>
      <c r="S30" s="2" t="str">
        <f t="shared" si="1"/>
        <v>Low</v>
      </c>
    </row>
    <row r="31" spans="1:19" x14ac:dyDescent="0.25">
      <c r="A31" s="2" t="s">
        <v>211</v>
      </c>
      <c r="B31" s="6">
        <v>46054</v>
      </c>
      <c r="C31" s="10" t="s">
        <v>196</v>
      </c>
      <c r="D31" s="2" t="s">
        <v>69</v>
      </c>
      <c r="E31" s="2" t="s">
        <v>20</v>
      </c>
      <c r="F31" s="2" t="s">
        <v>122</v>
      </c>
      <c r="G31" s="2" t="s">
        <v>58</v>
      </c>
      <c r="H31" s="2">
        <v>4</v>
      </c>
      <c r="I31" s="2">
        <v>860</v>
      </c>
      <c r="J31" s="2">
        <v>0.15</v>
      </c>
      <c r="K31" s="2">
        <v>3440</v>
      </c>
      <c r="L31" s="2">
        <v>516</v>
      </c>
      <c r="M31" s="2">
        <v>2924</v>
      </c>
      <c r="N31" s="2" t="s">
        <v>23</v>
      </c>
      <c r="O31" s="2" t="s">
        <v>53</v>
      </c>
      <c r="P31" s="2" t="s">
        <v>25</v>
      </c>
      <c r="Q31" s="2" t="s">
        <v>42</v>
      </c>
      <c r="R31" s="2" t="str">
        <f t="shared" si="0"/>
        <v>Low</v>
      </c>
      <c r="S31" s="2" t="str">
        <f t="shared" si="1"/>
        <v>Low</v>
      </c>
    </row>
    <row r="32" spans="1:19" x14ac:dyDescent="0.25">
      <c r="A32" s="2" t="s">
        <v>147</v>
      </c>
      <c r="B32" s="6">
        <v>46085</v>
      </c>
      <c r="C32" s="10" t="s">
        <v>148</v>
      </c>
      <c r="D32" s="2" t="s">
        <v>35</v>
      </c>
      <c r="E32" s="2" t="s">
        <v>20</v>
      </c>
      <c r="F32" s="2" t="s">
        <v>94</v>
      </c>
      <c r="G32" s="2" t="s">
        <v>22</v>
      </c>
      <c r="H32" s="2">
        <v>2</v>
      </c>
      <c r="I32" s="2">
        <v>11150</v>
      </c>
      <c r="J32" s="2">
        <v>0</v>
      </c>
      <c r="K32" s="2">
        <v>22300</v>
      </c>
      <c r="L32" s="2">
        <v>0</v>
      </c>
      <c r="M32" s="2">
        <v>22300</v>
      </c>
      <c r="N32" s="2" t="s">
        <v>62</v>
      </c>
      <c r="O32" s="2" t="s">
        <v>24</v>
      </c>
      <c r="P32" s="2" t="s">
        <v>82</v>
      </c>
      <c r="Q32" s="2" t="s">
        <v>32</v>
      </c>
      <c r="R32" s="2" t="str">
        <f t="shared" si="0"/>
        <v>Low</v>
      </c>
      <c r="S32" s="2" t="str">
        <f t="shared" si="1"/>
        <v>Low</v>
      </c>
    </row>
    <row r="33" spans="1:19" x14ac:dyDescent="0.25">
      <c r="A33" s="2" t="s">
        <v>197</v>
      </c>
      <c r="B33" s="6">
        <v>46168</v>
      </c>
      <c r="C33" s="10" t="s">
        <v>148</v>
      </c>
      <c r="D33" s="2" t="s">
        <v>106</v>
      </c>
      <c r="E33" s="2" t="s">
        <v>107</v>
      </c>
      <c r="F33" s="2" t="s">
        <v>122</v>
      </c>
      <c r="G33" s="2" t="s">
        <v>58</v>
      </c>
      <c r="H33" s="2">
        <v>5</v>
      </c>
      <c r="I33" s="2">
        <v>880</v>
      </c>
      <c r="J33" s="2">
        <v>0.1</v>
      </c>
      <c r="K33" s="2">
        <v>4400</v>
      </c>
      <c r="L33" s="2">
        <v>440</v>
      </c>
      <c r="M33" s="2">
        <v>3960</v>
      </c>
      <c r="N33" s="2" t="s">
        <v>31</v>
      </c>
      <c r="O33" s="2" t="s">
        <v>53</v>
      </c>
      <c r="P33" s="2" t="s">
        <v>25</v>
      </c>
      <c r="Q33" s="2" t="s">
        <v>42</v>
      </c>
      <c r="R33" s="2" t="str">
        <f t="shared" si="0"/>
        <v>Low</v>
      </c>
      <c r="S33" s="2" t="str">
        <f t="shared" si="1"/>
        <v>Low</v>
      </c>
    </row>
    <row r="34" spans="1:19" x14ac:dyDescent="0.25">
      <c r="A34" s="2" t="s">
        <v>224</v>
      </c>
      <c r="B34" s="6">
        <v>46246</v>
      </c>
      <c r="C34" s="10" t="s">
        <v>148</v>
      </c>
      <c r="D34" s="2" t="s">
        <v>38</v>
      </c>
      <c r="E34" s="2" t="s">
        <v>20</v>
      </c>
      <c r="F34" s="2" t="s">
        <v>144</v>
      </c>
      <c r="G34" s="2" t="s">
        <v>58</v>
      </c>
      <c r="H34" s="2">
        <v>4</v>
      </c>
      <c r="I34" s="2">
        <v>1750</v>
      </c>
      <c r="J34" s="2">
        <v>0.15</v>
      </c>
      <c r="K34" s="2">
        <v>7000</v>
      </c>
      <c r="L34" s="2">
        <v>1050</v>
      </c>
      <c r="M34" s="2">
        <v>5950</v>
      </c>
      <c r="N34" s="2" t="s">
        <v>31</v>
      </c>
      <c r="O34" s="2" t="s">
        <v>59</v>
      </c>
      <c r="P34" s="2" t="s">
        <v>25</v>
      </c>
      <c r="Q34" s="2" t="s">
        <v>63</v>
      </c>
      <c r="R34" s="2" t="str">
        <f t="shared" ref="R34:R65" si="2">IF(M34&gt;=50000,"High","Low")</f>
        <v>Low</v>
      </c>
      <c r="S34" s="2" t="str">
        <f t="shared" ref="S34:S65" si="3">IF(M34&gt;=50000,"High",IF(M34&gt;=25000,"Medium","Low"))</f>
        <v>Low</v>
      </c>
    </row>
    <row r="35" spans="1:19" x14ac:dyDescent="0.25">
      <c r="A35" s="2" t="s">
        <v>104</v>
      </c>
      <c r="B35" s="6">
        <v>46120</v>
      </c>
      <c r="C35" s="10" t="s">
        <v>105</v>
      </c>
      <c r="D35" s="2" t="s">
        <v>106</v>
      </c>
      <c r="E35" s="2" t="s">
        <v>107</v>
      </c>
      <c r="F35" s="2" t="s">
        <v>81</v>
      </c>
      <c r="G35" s="2" t="s">
        <v>58</v>
      </c>
      <c r="H35" s="2">
        <v>4</v>
      </c>
      <c r="I35" s="2">
        <v>760</v>
      </c>
      <c r="J35" s="2">
        <v>0.05</v>
      </c>
      <c r="K35" s="2">
        <v>3040</v>
      </c>
      <c r="L35" s="2">
        <v>152</v>
      </c>
      <c r="M35" s="2">
        <v>2888</v>
      </c>
      <c r="N35" s="2" t="s">
        <v>62</v>
      </c>
      <c r="O35" s="2" t="s">
        <v>59</v>
      </c>
      <c r="P35" s="2" t="s">
        <v>25</v>
      </c>
      <c r="Q35" s="2" t="s">
        <v>48</v>
      </c>
      <c r="R35" s="2" t="str">
        <f t="shared" si="2"/>
        <v>Low</v>
      </c>
      <c r="S35" s="2" t="str">
        <f t="shared" si="3"/>
        <v>Low</v>
      </c>
    </row>
    <row r="36" spans="1:19" x14ac:dyDescent="0.25">
      <c r="A36" s="2" t="s">
        <v>140</v>
      </c>
      <c r="B36" s="6">
        <v>46130</v>
      </c>
      <c r="C36" s="10" t="s">
        <v>141</v>
      </c>
      <c r="D36" s="2" t="s">
        <v>38</v>
      </c>
      <c r="E36" s="2" t="s">
        <v>20</v>
      </c>
      <c r="F36" s="2" t="s">
        <v>92</v>
      </c>
      <c r="G36" s="2" t="s">
        <v>40</v>
      </c>
      <c r="H36" s="2">
        <v>3</v>
      </c>
      <c r="I36" s="2">
        <v>6570</v>
      </c>
      <c r="J36" s="2">
        <v>0.05</v>
      </c>
      <c r="K36" s="2">
        <v>19710</v>
      </c>
      <c r="L36" s="2">
        <v>985.5</v>
      </c>
      <c r="M36" s="2">
        <v>18724.5</v>
      </c>
      <c r="N36" s="2" t="s">
        <v>23</v>
      </c>
      <c r="O36" s="2" t="s">
        <v>41</v>
      </c>
      <c r="P36" s="2" t="s">
        <v>25</v>
      </c>
      <c r="Q36" s="2" t="s">
        <v>42</v>
      </c>
      <c r="R36" s="2" t="str">
        <f t="shared" si="2"/>
        <v>Low</v>
      </c>
      <c r="S36" s="2" t="str">
        <f t="shared" si="3"/>
        <v>Low</v>
      </c>
    </row>
    <row r="37" spans="1:19" x14ac:dyDescent="0.25">
      <c r="A37" s="2" t="s">
        <v>164</v>
      </c>
      <c r="B37" s="6">
        <v>46194</v>
      </c>
      <c r="C37" s="10" t="s">
        <v>141</v>
      </c>
      <c r="D37" s="2" t="s">
        <v>35</v>
      </c>
      <c r="E37" s="2" t="s">
        <v>20</v>
      </c>
      <c r="F37" s="2" t="s">
        <v>78</v>
      </c>
      <c r="G37" s="2" t="s">
        <v>52</v>
      </c>
      <c r="H37" s="2">
        <v>4</v>
      </c>
      <c r="I37" s="2">
        <v>160</v>
      </c>
      <c r="J37" s="2">
        <v>0.1</v>
      </c>
      <c r="K37" s="2">
        <v>640</v>
      </c>
      <c r="L37" s="2">
        <v>64</v>
      </c>
      <c r="M37" s="2">
        <v>576</v>
      </c>
      <c r="N37" s="2" t="s">
        <v>62</v>
      </c>
      <c r="O37" s="2" t="s">
        <v>53</v>
      </c>
      <c r="P37" s="2" t="s">
        <v>25</v>
      </c>
      <c r="Q37" s="2" t="s">
        <v>32</v>
      </c>
      <c r="R37" s="2" t="str">
        <f t="shared" si="2"/>
        <v>Low</v>
      </c>
      <c r="S37" s="2" t="str">
        <f t="shared" si="3"/>
        <v>Low</v>
      </c>
    </row>
    <row r="38" spans="1:19" x14ac:dyDescent="0.25">
      <c r="A38" s="2" t="s">
        <v>131</v>
      </c>
      <c r="B38" s="6">
        <v>46112</v>
      </c>
      <c r="C38" s="10" t="s">
        <v>132</v>
      </c>
      <c r="D38" s="2" t="s">
        <v>38</v>
      </c>
      <c r="E38" s="2" t="s">
        <v>20</v>
      </c>
      <c r="F38" s="2" t="s">
        <v>133</v>
      </c>
      <c r="G38" s="2" t="s">
        <v>22</v>
      </c>
      <c r="H38" s="2">
        <v>1</v>
      </c>
      <c r="I38" s="2">
        <v>10390</v>
      </c>
      <c r="J38" s="2">
        <v>0.1</v>
      </c>
      <c r="K38" s="2">
        <v>10390</v>
      </c>
      <c r="L38" s="2">
        <v>1039</v>
      </c>
      <c r="M38" s="2">
        <v>9351</v>
      </c>
      <c r="N38" s="2" t="s">
        <v>62</v>
      </c>
      <c r="O38" s="2" t="s">
        <v>47</v>
      </c>
      <c r="P38" s="2" t="s">
        <v>25</v>
      </c>
      <c r="Q38" s="2" t="s">
        <v>26</v>
      </c>
      <c r="R38" s="2" t="str">
        <f t="shared" si="2"/>
        <v>Low</v>
      </c>
      <c r="S38" s="2" t="str">
        <f t="shared" si="3"/>
        <v>Low</v>
      </c>
    </row>
    <row r="39" spans="1:19" x14ac:dyDescent="0.25">
      <c r="A39" s="2" t="s">
        <v>209</v>
      </c>
      <c r="B39" s="6">
        <v>46087</v>
      </c>
      <c r="C39" s="10" t="s">
        <v>132</v>
      </c>
      <c r="D39" s="2" t="s">
        <v>73</v>
      </c>
      <c r="E39" s="2" t="s">
        <v>73</v>
      </c>
      <c r="F39" s="2" t="s">
        <v>144</v>
      </c>
      <c r="G39" s="2" t="s">
        <v>58</v>
      </c>
      <c r="H39" s="2">
        <v>1</v>
      </c>
      <c r="I39" s="2">
        <v>1590</v>
      </c>
      <c r="J39" s="2">
        <v>0.1</v>
      </c>
      <c r="K39" s="2">
        <v>1590</v>
      </c>
      <c r="L39" s="2">
        <v>159</v>
      </c>
      <c r="M39" s="2">
        <v>1431</v>
      </c>
      <c r="N39" s="2" t="s">
        <v>31</v>
      </c>
      <c r="O39" s="2" t="s">
        <v>41</v>
      </c>
      <c r="P39" s="2" t="s">
        <v>25</v>
      </c>
      <c r="Q39" s="2" t="s">
        <v>48</v>
      </c>
      <c r="R39" s="2" t="str">
        <f t="shared" si="2"/>
        <v>Low</v>
      </c>
      <c r="S39" s="2" t="str">
        <f t="shared" si="3"/>
        <v>Low</v>
      </c>
    </row>
    <row r="40" spans="1:19" x14ac:dyDescent="0.25">
      <c r="A40" s="2" t="s">
        <v>162</v>
      </c>
      <c r="B40" s="6">
        <v>46160</v>
      </c>
      <c r="C40" s="10" t="s">
        <v>163</v>
      </c>
      <c r="D40" s="2" t="s">
        <v>38</v>
      </c>
      <c r="E40" s="2" t="s">
        <v>20</v>
      </c>
      <c r="F40" s="2" t="s">
        <v>122</v>
      </c>
      <c r="G40" s="2" t="s">
        <v>58</v>
      </c>
      <c r="H40" s="2">
        <v>4</v>
      </c>
      <c r="I40" s="2">
        <v>860</v>
      </c>
      <c r="J40" s="2">
        <v>0.15</v>
      </c>
      <c r="K40" s="2">
        <v>3440</v>
      </c>
      <c r="L40" s="2">
        <v>516</v>
      </c>
      <c r="M40" s="2">
        <v>2924</v>
      </c>
      <c r="N40" s="2" t="s">
        <v>31</v>
      </c>
      <c r="O40" s="2" t="s">
        <v>24</v>
      </c>
      <c r="P40" s="2" t="s">
        <v>25</v>
      </c>
      <c r="Q40" s="2" t="s">
        <v>63</v>
      </c>
      <c r="R40" s="2" t="str">
        <f t="shared" si="2"/>
        <v>Low</v>
      </c>
      <c r="S40" s="2" t="str">
        <f t="shared" si="3"/>
        <v>Low</v>
      </c>
    </row>
    <row r="41" spans="1:19" x14ac:dyDescent="0.25">
      <c r="A41" s="2" t="s">
        <v>119</v>
      </c>
      <c r="B41" s="6">
        <v>46095</v>
      </c>
      <c r="C41" s="10" t="s">
        <v>120</v>
      </c>
      <c r="D41" s="2" t="s">
        <v>69</v>
      </c>
      <c r="E41" s="2" t="s">
        <v>20</v>
      </c>
      <c r="F41" s="2" t="s">
        <v>39</v>
      </c>
      <c r="G41" s="2" t="s">
        <v>40</v>
      </c>
      <c r="H41" s="2">
        <v>1</v>
      </c>
      <c r="I41" s="2">
        <v>9140</v>
      </c>
      <c r="J41" s="2">
        <v>0.1</v>
      </c>
      <c r="K41" s="2">
        <v>9140</v>
      </c>
      <c r="L41" s="2">
        <v>914</v>
      </c>
      <c r="M41" s="2">
        <v>8226</v>
      </c>
      <c r="N41" s="2" t="s">
        <v>23</v>
      </c>
      <c r="O41" s="2" t="s">
        <v>41</v>
      </c>
      <c r="P41" s="2" t="s">
        <v>25</v>
      </c>
      <c r="Q41" s="2" t="s">
        <v>26</v>
      </c>
      <c r="R41" s="2" t="str">
        <f t="shared" si="2"/>
        <v>Low</v>
      </c>
      <c r="S41" s="2" t="str">
        <f t="shared" si="3"/>
        <v>Low</v>
      </c>
    </row>
    <row r="42" spans="1:19" x14ac:dyDescent="0.25">
      <c r="A42" s="2" t="s">
        <v>178</v>
      </c>
      <c r="B42" s="6">
        <v>46189</v>
      </c>
      <c r="C42" s="10" t="s">
        <v>179</v>
      </c>
      <c r="D42" s="2" t="s">
        <v>38</v>
      </c>
      <c r="E42" s="2" t="s">
        <v>20</v>
      </c>
      <c r="F42" s="2" t="s">
        <v>51</v>
      </c>
      <c r="G42" s="2" t="s">
        <v>52</v>
      </c>
      <c r="H42" s="2">
        <v>2</v>
      </c>
      <c r="I42" s="2">
        <v>250</v>
      </c>
      <c r="J42" s="2">
        <v>0.2</v>
      </c>
      <c r="K42" s="2">
        <v>500</v>
      </c>
      <c r="L42" s="2">
        <v>100</v>
      </c>
      <c r="M42" s="2">
        <v>400</v>
      </c>
      <c r="N42" s="2" t="s">
        <v>62</v>
      </c>
      <c r="O42" s="2" t="s">
        <v>24</v>
      </c>
      <c r="P42" s="2" t="s">
        <v>25</v>
      </c>
      <c r="Q42" s="2" t="s">
        <v>32</v>
      </c>
      <c r="R42" s="2" t="str">
        <f t="shared" si="2"/>
        <v>Low</v>
      </c>
      <c r="S42" s="2" t="str">
        <f t="shared" si="3"/>
        <v>Low</v>
      </c>
    </row>
    <row r="43" spans="1:19" x14ac:dyDescent="0.25">
      <c r="A43" s="2" t="s">
        <v>243</v>
      </c>
      <c r="B43" s="6">
        <v>46029</v>
      </c>
      <c r="C43" s="10" t="s">
        <v>244</v>
      </c>
      <c r="D43" s="2" t="s">
        <v>73</v>
      </c>
      <c r="E43" s="2" t="s">
        <v>73</v>
      </c>
      <c r="F43" s="2" t="s">
        <v>39</v>
      </c>
      <c r="G43" s="2" t="s">
        <v>40</v>
      </c>
      <c r="H43" s="2">
        <v>1</v>
      </c>
      <c r="I43" s="2">
        <v>8800</v>
      </c>
      <c r="J43" s="2">
        <v>0.15</v>
      </c>
      <c r="K43" s="2">
        <v>8800</v>
      </c>
      <c r="L43" s="2">
        <v>1320</v>
      </c>
      <c r="M43" s="2">
        <v>7480</v>
      </c>
      <c r="N43" s="2" t="s">
        <v>23</v>
      </c>
      <c r="O43" s="2" t="s">
        <v>53</v>
      </c>
      <c r="P43" s="2" t="s">
        <v>25</v>
      </c>
      <c r="Q43" s="2" t="s">
        <v>26</v>
      </c>
      <c r="R43" s="2" t="str">
        <f t="shared" si="2"/>
        <v>Low</v>
      </c>
      <c r="S43" s="2" t="str">
        <f t="shared" si="3"/>
        <v>Low</v>
      </c>
    </row>
    <row r="44" spans="1:19" x14ac:dyDescent="0.25">
      <c r="A44" s="2" t="s">
        <v>27</v>
      </c>
      <c r="B44" s="6">
        <v>46029</v>
      </c>
      <c r="C44" s="10" t="s">
        <v>28</v>
      </c>
      <c r="D44" s="2" t="s">
        <v>29</v>
      </c>
      <c r="E44" s="2" t="s">
        <v>20</v>
      </c>
      <c r="F44" s="2" t="s">
        <v>30</v>
      </c>
      <c r="G44" s="2" t="s">
        <v>22</v>
      </c>
      <c r="H44" s="2">
        <v>2</v>
      </c>
      <c r="I44" s="2">
        <v>17040</v>
      </c>
      <c r="J44" s="2">
        <v>0.2</v>
      </c>
      <c r="K44" s="2">
        <v>34080</v>
      </c>
      <c r="L44" s="2">
        <v>6816</v>
      </c>
      <c r="M44" s="2">
        <v>27264</v>
      </c>
      <c r="N44" s="2" t="s">
        <v>31</v>
      </c>
      <c r="O44" s="2" t="s">
        <v>24</v>
      </c>
      <c r="P44" s="2" t="s">
        <v>25</v>
      </c>
      <c r="Q44" s="2" t="s">
        <v>32</v>
      </c>
      <c r="R44" s="2" t="str">
        <f t="shared" si="2"/>
        <v>Low</v>
      </c>
      <c r="S44" s="2" t="str">
        <f t="shared" si="3"/>
        <v>Medium</v>
      </c>
    </row>
    <row r="45" spans="1:19" x14ac:dyDescent="0.25">
      <c r="A45" s="2" t="s">
        <v>125</v>
      </c>
      <c r="B45" s="6">
        <v>46064</v>
      </c>
      <c r="C45" s="10" t="s">
        <v>28</v>
      </c>
      <c r="D45" s="2" t="s">
        <v>29</v>
      </c>
      <c r="E45" s="2" t="s">
        <v>20</v>
      </c>
      <c r="F45" s="2" t="s">
        <v>21</v>
      </c>
      <c r="G45" s="2" t="s">
        <v>22</v>
      </c>
      <c r="H45" s="2">
        <v>3</v>
      </c>
      <c r="I45" s="2">
        <v>57980</v>
      </c>
      <c r="J45" s="2">
        <v>0.1</v>
      </c>
      <c r="K45" s="2">
        <v>173940</v>
      </c>
      <c r="L45" s="2">
        <v>17394</v>
      </c>
      <c r="M45" s="2">
        <v>156546</v>
      </c>
      <c r="N45" s="2" t="s">
        <v>23</v>
      </c>
      <c r="O45" s="2" t="s">
        <v>47</v>
      </c>
      <c r="P45" s="2" t="s">
        <v>25</v>
      </c>
      <c r="Q45" s="2" t="s">
        <v>26</v>
      </c>
      <c r="R45" s="2" t="str">
        <f t="shared" si="2"/>
        <v>High</v>
      </c>
      <c r="S45" s="2" t="str">
        <f t="shared" si="3"/>
        <v>High</v>
      </c>
    </row>
    <row r="46" spans="1:19" x14ac:dyDescent="0.25">
      <c r="A46" s="2" t="s">
        <v>108</v>
      </c>
      <c r="B46" s="6">
        <v>46037</v>
      </c>
      <c r="C46" s="10" t="s">
        <v>109</v>
      </c>
      <c r="D46" s="2" t="s">
        <v>88</v>
      </c>
      <c r="E46" s="2" t="s">
        <v>89</v>
      </c>
      <c r="F46" s="2" t="s">
        <v>110</v>
      </c>
      <c r="G46" s="2" t="s">
        <v>52</v>
      </c>
      <c r="H46" s="2">
        <v>2</v>
      </c>
      <c r="I46" s="2">
        <v>520</v>
      </c>
      <c r="J46" s="2">
        <v>0.05</v>
      </c>
      <c r="K46" s="2">
        <v>1040</v>
      </c>
      <c r="L46" s="2">
        <v>52</v>
      </c>
      <c r="M46" s="2">
        <v>988</v>
      </c>
      <c r="N46" s="2" t="s">
        <v>23</v>
      </c>
      <c r="O46" s="2" t="s">
        <v>59</v>
      </c>
      <c r="P46" s="2" t="s">
        <v>25</v>
      </c>
      <c r="Q46" s="2" t="s">
        <v>26</v>
      </c>
      <c r="R46" s="2" t="str">
        <f t="shared" si="2"/>
        <v>Low</v>
      </c>
      <c r="S46" s="2" t="str">
        <f t="shared" si="3"/>
        <v>Low</v>
      </c>
    </row>
    <row r="47" spans="1:19" x14ac:dyDescent="0.25">
      <c r="A47" s="2" t="s">
        <v>214</v>
      </c>
      <c r="B47" s="6">
        <v>46143</v>
      </c>
      <c r="C47" s="10" t="s">
        <v>215</v>
      </c>
      <c r="D47" s="2" t="s">
        <v>35</v>
      </c>
      <c r="E47" s="2" t="s">
        <v>20</v>
      </c>
      <c r="F47" s="2" t="s">
        <v>70</v>
      </c>
      <c r="G47" s="2" t="s">
        <v>22</v>
      </c>
      <c r="H47" s="2">
        <v>3</v>
      </c>
      <c r="I47" s="2">
        <v>3150</v>
      </c>
      <c r="J47" s="2">
        <v>0.15</v>
      </c>
      <c r="K47" s="2">
        <v>9450</v>
      </c>
      <c r="L47" s="2">
        <v>1417.5</v>
      </c>
      <c r="M47" s="2">
        <v>8032.5</v>
      </c>
      <c r="N47" s="2" t="s">
        <v>62</v>
      </c>
      <c r="O47" s="2" t="s">
        <v>53</v>
      </c>
      <c r="P47" s="2" t="s">
        <v>25</v>
      </c>
      <c r="Q47" s="2" t="s">
        <v>32</v>
      </c>
      <c r="R47" s="2" t="str">
        <f t="shared" si="2"/>
        <v>Low</v>
      </c>
      <c r="S47" s="2" t="str">
        <f t="shared" si="3"/>
        <v>Low</v>
      </c>
    </row>
    <row r="48" spans="1:19" x14ac:dyDescent="0.25">
      <c r="A48" s="2" t="s">
        <v>17</v>
      </c>
      <c r="B48" s="6">
        <v>46211</v>
      </c>
      <c r="C48" s="10" t="s">
        <v>18</v>
      </c>
      <c r="D48" s="2" t="s">
        <v>19</v>
      </c>
      <c r="E48" s="2" t="s">
        <v>20</v>
      </c>
      <c r="F48" s="2" t="s">
        <v>21</v>
      </c>
      <c r="G48" s="2" t="s">
        <v>22</v>
      </c>
      <c r="H48" s="2">
        <v>3</v>
      </c>
      <c r="I48" s="2">
        <v>52190</v>
      </c>
      <c r="J48" s="2">
        <v>0.05</v>
      </c>
      <c r="K48" s="2">
        <v>156570</v>
      </c>
      <c r="L48" s="2">
        <v>7828.5</v>
      </c>
      <c r="M48" s="2">
        <v>148741.5</v>
      </c>
      <c r="N48" s="2" t="s">
        <v>23</v>
      </c>
      <c r="O48" s="2" t="s">
        <v>24</v>
      </c>
      <c r="P48" s="2" t="s">
        <v>25</v>
      </c>
      <c r="Q48" s="2" t="s">
        <v>26</v>
      </c>
      <c r="R48" s="1" t="str">
        <f t="shared" si="2"/>
        <v>High</v>
      </c>
      <c r="S48" s="2" t="str">
        <f t="shared" si="3"/>
        <v>High</v>
      </c>
    </row>
    <row r="49" spans="1:19" x14ac:dyDescent="0.25">
      <c r="A49" s="2" t="s">
        <v>145</v>
      </c>
      <c r="B49" s="6">
        <v>46191</v>
      </c>
      <c r="C49" s="10" t="s">
        <v>146</v>
      </c>
      <c r="D49" s="2" t="s">
        <v>56</v>
      </c>
      <c r="E49" s="2" t="s">
        <v>20</v>
      </c>
      <c r="F49" s="2" t="s">
        <v>70</v>
      </c>
      <c r="G49" s="2" t="s">
        <v>22</v>
      </c>
      <c r="H49" s="2">
        <v>4</v>
      </c>
      <c r="I49" s="2">
        <v>3390</v>
      </c>
      <c r="J49" s="2">
        <v>0.05</v>
      </c>
      <c r="K49" s="2">
        <v>13560</v>
      </c>
      <c r="L49" s="2">
        <v>678</v>
      </c>
      <c r="M49" s="2">
        <v>12882</v>
      </c>
      <c r="N49" s="2" t="s">
        <v>62</v>
      </c>
      <c r="O49" s="2" t="s">
        <v>47</v>
      </c>
      <c r="P49" s="2" t="s">
        <v>25</v>
      </c>
      <c r="Q49" s="2" t="s">
        <v>63</v>
      </c>
      <c r="R49" s="2" t="str">
        <f t="shared" si="2"/>
        <v>Low</v>
      </c>
      <c r="S49" s="2" t="str">
        <f t="shared" si="3"/>
        <v>Low</v>
      </c>
    </row>
    <row r="50" spans="1:19" x14ac:dyDescent="0.25">
      <c r="A50" s="2" t="s">
        <v>188</v>
      </c>
      <c r="B50" s="6">
        <v>46093</v>
      </c>
      <c r="C50" s="10" t="s">
        <v>146</v>
      </c>
      <c r="D50" s="2" t="s">
        <v>19</v>
      </c>
      <c r="E50" s="2" t="s">
        <v>20</v>
      </c>
      <c r="F50" s="2" t="s">
        <v>144</v>
      </c>
      <c r="G50" s="2" t="s">
        <v>58</v>
      </c>
      <c r="H50" s="2">
        <v>2</v>
      </c>
      <c r="I50" s="2">
        <v>1500</v>
      </c>
      <c r="J50" s="2">
        <v>0.15</v>
      </c>
      <c r="K50" s="2">
        <v>3000</v>
      </c>
      <c r="L50" s="2">
        <v>450</v>
      </c>
      <c r="M50" s="2">
        <v>2550</v>
      </c>
      <c r="N50" s="2" t="s">
        <v>62</v>
      </c>
      <c r="O50" s="2" t="s">
        <v>47</v>
      </c>
      <c r="P50" s="2" t="s">
        <v>25</v>
      </c>
      <c r="Q50" s="2" t="s">
        <v>63</v>
      </c>
      <c r="R50" s="2" t="str">
        <f t="shared" si="2"/>
        <v>Low</v>
      </c>
      <c r="S50" s="2" t="str">
        <f t="shared" si="3"/>
        <v>Low</v>
      </c>
    </row>
    <row r="51" spans="1:19" x14ac:dyDescent="0.25">
      <c r="A51" s="2" t="s">
        <v>216</v>
      </c>
      <c r="B51" s="6">
        <v>46110</v>
      </c>
      <c r="C51" s="10" t="s">
        <v>217</v>
      </c>
      <c r="D51" s="2" t="s">
        <v>88</v>
      </c>
      <c r="E51" s="2" t="s">
        <v>89</v>
      </c>
      <c r="F51" s="2" t="s">
        <v>66</v>
      </c>
      <c r="G51" s="2" t="s">
        <v>22</v>
      </c>
      <c r="H51" s="2">
        <v>1</v>
      </c>
      <c r="I51" s="2">
        <v>4300</v>
      </c>
      <c r="J51" s="2">
        <v>0.15</v>
      </c>
      <c r="K51" s="2">
        <v>4300</v>
      </c>
      <c r="L51" s="2">
        <v>645</v>
      </c>
      <c r="M51" s="2">
        <v>3655</v>
      </c>
      <c r="N51" s="2" t="s">
        <v>31</v>
      </c>
      <c r="O51" s="2" t="s">
        <v>59</v>
      </c>
      <c r="P51" s="2" t="s">
        <v>75</v>
      </c>
      <c r="Q51" s="2" t="s">
        <v>42</v>
      </c>
      <c r="R51" s="2" t="str">
        <f t="shared" si="2"/>
        <v>Low</v>
      </c>
      <c r="S51" s="2" t="str">
        <f t="shared" si="3"/>
        <v>Low</v>
      </c>
    </row>
    <row r="52" spans="1:19" x14ac:dyDescent="0.25">
      <c r="A52" s="2" t="s">
        <v>79</v>
      </c>
      <c r="B52" s="6">
        <v>46161</v>
      </c>
      <c r="C52" s="10" t="s">
        <v>80</v>
      </c>
      <c r="D52" s="2" t="s">
        <v>45</v>
      </c>
      <c r="E52" s="2" t="s">
        <v>46</v>
      </c>
      <c r="F52" s="2" t="s">
        <v>81</v>
      </c>
      <c r="G52" s="2" t="s">
        <v>58</v>
      </c>
      <c r="H52" s="2">
        <v>2</v>
      </c>
      <c r="I52" s="2">
        <v>680</v>
      </c>
      <c r="J52" s="2">
        <v>0.05</v>
      </c>
      <c r="K52" s="2">
        <v>1360</v>
      </c>
      <c r="L52" s="2">
        <v>68</v>
      </c>
      <c r="M52" s="2">
        <v>1292</v>
      </c>
      <c r="N52" s="2" t="s">
        <v>23</v>
      </c>
      <c r="O52" s="2" t="s">
        <v>59</v>
      </c>
      <c r="P52" s="2" t="s">
        <v>82</v>
      </c>
      <c r="Q52" s="2" t="s">
        <v>48</v>
      </c>
      <c r="R52" s="2" t="str">
        <f t="shared" si="2"/>
        <v>Low</v>
      </c>
      <c r="S52" s="2" t="str">
        <f t="shared" si="3"/>
        <v>Low</v>
      </c>
    </row>
    <row r="53" spans="1:19" x14ac:dyDescent="0.25">
      <c r="A53" s="2" t="s">
        <v>76</v>
      </c>
      <c r="B53" s="6">
        <v>46151</v>
      </c>
      <c r="C53" s="10" t="s">
        <v>77</v>
      </c>
      <c r="D53" s="2" t="s">
        <v>35</v>
      </c>
      <c r="E53" s="2" t="s">
        <v>20</v>
      </c>
      <c r="F53" s="2" t="s">
        <v>78</v>
      </c>
      <c r="G53" s="2" t="s">
        <v>52</v>
      </c>
      <c r="H53" s="2">
        <v>2</v>
      </c>
      <c r="I53" s="2">
        <v>180</v>
      </c>
      <c r="J53" s="2">
        <v>0.1</v>
      </c>
      <c r="K53" s="2">
        <v>360</v>
      </c>
      <c r="L53" s="2">
        <v>36</v>
      </c>
      <c r="M53" s="2">
        <v>324</v>
      </c>
      <c r="N53" s="2" t="s">
        <v>23</v>
      </c>
      <c r="O53" s="2" t="s">
        <v>59</v>
      </c>
      <c r="P53" s="2" t="s">
        <v>25</v>
      </c>
      <c r="Q53" s="2" t="s">
        <v>32</v>
      </c>
      <c r="R53" s="2" t="str">
        <f t="shared" si="2"/>
        <v>Low</v>
      </c>
      <c r="S53" s="2" t="str">
        <f t="shared" si="3"/>
        <v>Low</v>
      </c>
    </row>
    <row r="54" spans="1:19" x14ac:dyDescent="0.25">
      <c r="A54" s="2" t="s">
        <v>111</v>
      </c>
      <c r="B54" s="6">
        <v>46063</v>
      </c>
      <c r="C54" s="10" t="s">
        <v>77</v>
      </c>
      <c r="D54" s="2" t="s">
        <v>29</v>
      </c>
      <c r="E54" s="2" t="s">
        <v>20</v>
      </c>
      <c r="F54" s="2" t="s">
        <v>112</v>
      </c>
      <c r="G54" s="2" t="s">
        <v>22</v>
      </c>
      <c r="H54" s="2">
        <v>4</v>
      </c>
      <c r="I54" s="2">
        <v>6500</v>
      </c>
      <c r="J54" s="2">
        <v>0.2</v>
      </c>
      <c r="K54" s="2">
        <v>26000</v>
      </c>
      <c r="L54" s="2">
        <v>5200</v>
      </c>
      <c r="M54" s="2">
        <v>20800</v>
      </c>
      <c r="N54" s="2" t="s">
        <v>31</v>
      </c>
      <c r="O54" s="2" t="s">
        <v>47</v>
      </c>
      <c r="P54" s="2" t="s">
        <v>25</v>
      </c>
      <c r="Q54" s="2" t="s">
        <v>32</v>
      </c>
      <c r="R54" s="2" t="str">
        <f t="shared" si="2"/>
        <v>Low</v>
      </c>
      <c r="S54" s="2" t="str">
        <f t="shared" si="3"/>
        <v>Low</v>
      </c>
    </row>
    <row r="55" spans="1:19" x14ac:dyDescent="0.25">
      <c r="A55" s="2" t="s">
        <v>207</v>
      </c>
      <c r="B55" s="6">
        <v>46105</v>
      </c>
      <c r="C55" s="10" t="s">
        <v>208</v>
      </c>
      <c r="D55" s="2" t="s">
        <v>106</v>
      </c>
      <c r="E55" s="2" t="s">
        <v>107</v>
      </c>
      <c r="F55" s="2" t="s">
        <v>30</v>
      </c>
      <c r="G55" s="2" t="s">
        <v>22</v>
      </c>
      <c r="H55" s="2">
        <v>4</v>
      </c>
      <c r="I55" s="2">
        <v>17450</v>
      </c>
      <c r="J55" s="2">
        <v>0.1</v>
      </c>
      <c r="K55" s="2">
        <v>69800</v>
      </c>
      <c r="L55" s="2">
        <v>6980</v>
      </c>
      <c r="M55" s="2">
        <v>62820</v>
      </c>
      <c r="N55" s="2" t="s">
        <v>62</v>
      </c>
      <c r="O55" s="2" t="s">
        <v>24</v>
      </c>
      <c r="P55" s="2" t="s">
        <v>25</v>
      </c>
      <c r="Q55" s="2" t="s">
        <v>42</v>
      </c>
      <c r="R55" s="2" t="str">
        <f t="shared" si="2"/>
        <v>High</v>
      </c>
      <c r="S55" s="2" t="str">
        <f t="shared" si="3"/>
        <v>High</v>
      </c>
    </row>
    <row r="56" spans="1:19" x14ac:dyDescent="0.25">
      <c r="A56" s="2" t="s">
        <v>67</v>
      </c>
      <c r="B56" s="6">
        <v>46243</v>
      </c>
      <c r="C56" s="10" t="s">
        <v>68</v>
      </c>
      <c r="D56" s="2" t="s">
        <v>69</v>
      </c>
      <c r="E56" s="2" t="s">
        <v>20</v>
      </c>
      <c r="F56" s="2" t="s">
        <v>70</v>
      </c>
      <c r="G56" s="2" t="s">
        <v>22</v>
      </c>
      <c r="H56" s="2">
        <v>4</v>
      </c>
      <c r="I56" s="2">
        <v>2940</v>
      </c>
      <c r="J56" s="2">
        <v>0</v>
      </c>
      <c r="K56" s="2">
        <v>11760</v>
      </c>
      <c r="L56" s="2">
        <v>0</v>
      </c>
      <c r="M56" s="2">
        <v>11760</v>
      </c>
      <c r="N56" s="2" t="s">
        <v>23</v>
      </c>
      <c r="O56" s="2" t="s">
        <v>47</v>
      </c>
      <c r="P56" s="2" t="s">
        <v>25</v>
      </c>
      <c r="Q56" s="2" t="s">
        <v>48</v>
      </c>
      <c r="R56" s="2" t="str">
        <f t="shared" si="2"/>
        <v>Low</v>
      </c>
      <c r="S56" s="2" t="str">
        <f t="shared" si="3"/>
        <v>Low</v>
      </c>
    </row>
    <row r="57" spans="1:19" x14ac:dyDescent="0.25">
      <c r="A57" s="2" t="s">
        <v>227</v>
      </c>
      <c r="B57" s="6">
        <v>46158</v>
      </c>
      <c r="C57" s="10" t="s">
        <v>228</v>
      </c>
      <c r="D57" s="2" t="s">
        <v>35</v>
      </c>
      <c r="E57" s="2" t="s">
        <v>20</v>
      </c>
      <c r="F57" s="2" t="s">
        <v>39</v>
      </c>
      <c r="G57" s="2" t="s">
        <v>40</v>
      </c>
      <c r="H57" s="2">
        <v>3</v>
      </c>
      <c r="I57" s="2">
        <v>8380</v>
      </c>
      <c r="J57" s="2">
        <v>0.05</v>
      </c>
      <c r="K57" s="2">
        <v>25140</v>
      </c>
      <c r="L57" s="2">
        <v>1257</v>
      </c>
      <c r="M57" s="2">
        <v>23883</v>
      </c>
      <c r="N57" s="2" t="s">
        <v>31</v>
      </c>
      <c r="O57" s="2" t="s">
        <v>47</v>
      </c>
      <c r="P57" s="2" t="s">
        <v>25</v>
      </c>
      <c r="Q57" s="2" t="s">
        <v>32</v>
      </c>
      <c r="R57" s="2" t="str">
        <f t="shared" si="2"/>
        <v>Low</v>
      </c>
      <c r="S57" s="2" t="str">
        <f t="shared" si="3"/>
        <v>Low</v>
      </c>
    </row>
    <row r="58" spans="1:19" x14ac:dyDescent="0.25">
      <c r="A58" s="2" t="s">
        <v>153</v>
      </c>
      <c r="B58" s="6">
        <v>46137</v>
      </c>
      <c r="C58" s="10" t="s">
        <v>154</v>
      </c>
      <c r="D58" s="2" t="s">
        <v>106</v>
      </c>
      <c r="E58" s="2" t="s">
        <v>107</v>
      </c>
      <c r="F58" s="2" t="s">
        <v>74</v>
      </c>
      <c r="G58" s="2" t="s">
        <v>22</v>
      </c>
      <c r="H58" s="2">
        <v>5</v>
      </c>
      <c r="I58" s="2">
        <v>2960</v>
      </c>
      <c r="J58" s="2">
        <v>0.2</v>
      </c>
      <c r="K58" s="2">
        <v>14800</v>
      </c>
      <c r="L58" s="2">
        <v>2960</v>
      </c>
      <c r="M58" s="2">
        <v>11840</v>
      </c>
      <c r="N58" s="2" t="s">
        <v>62</v>
      </c>
      <c r="O58" s="2" t="s">
        <v>53</v>
      </c>
      <c r="P58" s="2" t="s">
        <v>155</v>
      </c>
      <c r="Q58" s="2" t="s">
        <v>42</v>
      </c>
      <c r="R58" s="2" t="str">
        <f t="shared" si="2"/>
        <v>Low</v>
      </c>
      <c r="S58" s="2" t="str">
        <f t="shared" si="3"/>
        <v>Low</v>
      </c>
    </row>
    <row r="59" spans="1:19" x14ac:dyDescent="0.25">
      <c r="A59" s="2" t="s">
        <v>183</v>
      </c>
      <c r="B59" s="6">
        <v>46084</v>
      </c>
      <c r="C59" s="10" t="s">
        <v>184</v>
      </c>
      <c r="D59" s="2" t="s">
        <v>88</v>
      </c>
      <c r="E59" s="2" t="s">
        <v>89</v>
      </c>
      <c r="F59" s="2" t="s">
        <v>21</v>
      </c>
      <c r="G59" s="2" t="s">
        <v>22</v>
      </c>
      <c r="H59" s="2">
        <v>5</v>
      </c>
      <c r="I59" s="2">
        <v>59930</v>
      </c>
      <c r="J59" s="2">
        <v>0</v>
      </c>
      <c r="K59" s="2">
        <v>299650</v>
      </c>
      <c r="L59" s="2">
        <v>0</v>
      </c>
      <c r="M59" s="2">
        <v>299650</v>
      </c>
      <c r="N59" s="2" t="s">
        <v>31</v>
      </c>
      <c r="O59" s="2" t="s">
        <v>24</v>
      </c>
      <c r="P59" s="2" t="s">
        <v>25</v>
      </c>
      <c r="Q59" s="2" t="s">
        <v>48</v>
      </c>
      <c r="R59" s="2" t="str">
        <f t="shared" si="2"/>
        <v>High</v>
      </c>
      <c r="S59" s="2" t="str">
        <f t="shared" si="3"/>
        <v>High</v>
      </c>
    </row>
    <row r="60" spans="1:19" x14ac:dyDescent="0.25">
      <c r="A60" s="2" t="s">
        <v>245</v>
      </c>
      <c r="B60" s="6">
        <v>46265</v>
      </c>
      <c r="C60" s="10" t="s">
        <v>246</v>
      </c>
      <c r="D60" s="2" t="s">
        <v>106</v>
      </c>
      <c r="E60" s="2" t="s">
        <v>107</v>
      </c>
      <c r="F60" s="2" t="s">
        <v>122</v>
      </c>
      <c r="G60" s="2" t="s">
        <v>58</v>
      </c>
      <c r="H60" s="2">
        <v>4</v>
      </c>
      <c r="I60" s="2">
        <v>740</v>
      </c>
      <c r="J60" s="2">
        <v>0</v>
      </c>
      <c r="K60" s="2">
        <v>2960</v>
      </c>
      <c r="L60" s="2">
        <v>0</v>
      </c>
      <c r="M60" s="2">
        <v>2960</v>
      </c>
      <c r="N60" s="2" t="s">
        <v>31</v>
      </c>
      <c r="O60" s="2" t="s">
        <v>53</v>
      </c>
      <c r="P60" s="2" t="s">
        <v>25</v>
      </c>
      <c r="Q60" s="2" t="s">
        <v>32</v>
      </c>
      <c r="R60" s="2" t="str">
        <f t="shared" si="2"/>
        <v>Low</v>
      </c>
      <c r="S60" s="2" t="str">
        <f t="shared" si="3"/>
        <v>Low</v>
      </c>
    </row>
    <row r="61" spans="1:19" x14ac:dyDescent="0.25">
      <c r="A61" s="2" t="s">
        <v>173</v>
      </c>
      <c r="B61" s="6">
        <v>46171</v>
      </c>
      <c r="C61" s="10" t="s">
        <v>174</v>
      </c>
      <c r="D61" s="2" t="s">
        <v>45</v>
      </c>
      <c r="E61" s="2" t="s">
        <v>46</v>
      </c>
      <c r="F61" s="2" t="s">
        <v>85</v>
      </c>
      <c r="G61" s="2" t="s">
        <v>22</v>
      </c>
      <c r="H61" s="2">
        <v>2</v>
      </c>
      <c r="I61" s="2">
        <v>2730</v>
      </c>
      <c r="J61" s="2">
        <v>0</v>
      </c>
      <c r="K61" s="2">
        <v>5460</v>
      </c>
      <c r="L61" s="2">
        <v>0</v>
      </c>
      <c r="M61" s="2">
        <v>5460</v>
      </c>
      <c r="N61" s="2" t="s">
        <v>23</v>
      </c>
      <c r="O61" s="2" t="s">
        <v>24</v>
      </c>
      <c r="P61" s="2" t="s">
        <v>25</v>
      </c>
      <c r="Q61" s="2" t="s">
        <v>48</v>
      </c>
      <c r="R61" s="2" t="str">
        <f t="shared" si="2"/>
        <v>Low</v>
      </c>
      <c r="S61" s="2" t="str">
        <f t="shared" si="3"/>
        <v>Low</v>
      </c>
    </row>
    <row r="62" spans="1:19" x14ac:dyDescent="0.25">
      <c r="A62" s="2" t="s">
        <v>175</v>
      </c>
      <c r="B62" s="6">
        <v>46049</v>
      </c>
      <c r="C62" s="10" t="s">
        <v>174</v>
      </c>
      <c r="D62" s="2" t="s">
        <v>56</v>
      </c>
      <c r="E62" s="2" t="s">
        <v>20</v>
      </c>
      <c r="F62" s="2" t="s">
        <v>30</v>
      </c>
      <c r="G62" s="2" t="s">
        <v>22</v>
      </c>
      <c r="H62" s="2">
        <v>5</v>
      </c>
      <c r="I62" s="2">
        <v>18690</v>
      </c>
      <c r="J62" s="2">
        <v>0.05</v>
      </c>
      <c r="K62" s="2">
        <v>93450</v>
      </c>
      <c r="L62" s="2">
        <v>4672.5</v>
      </c>
      <c r="M62" s="2">
        <v>88777.5</v>
      </c>
      <c r="N62" s="2" t="s">
        <v>31</v>
      </c>
      <c r="O62" s="2" t="s">
        <v>41</v>
      </c>
      <c r="P62" s="2" t="s">
        <v>25</v>
      </c>
      <c r="Q62" s="2" t="s">
        <v>26</v>
      </c>
      <c r="R62" s="2" t="str">
        <f t="shared" si="2"/>
        <v>High</v>
      </c>
      <c r="S62" s="2" t="str">
        <f t="shared" si="3"/>
        <v>High</v>
      </c>
    </row>
    <row r="63" spans="1:19" x14ac:dyDescent="0.25">
      <c r="A63" s="2" t="s">
        <v>225</v>
      </c>
      <c r="B63" s="6">
        <v>46136</v>
      </c>
      <c r="C63" s="10" t="s">
        <v>226</v>
      </c>
      <c r="D63" s="2" t="s">
        <v>19</v>
      </c>
      <c r="E63" s="2" t="s">
        <v>20</v>
      </c>
      <c r="F63" s="2" t="s">
        <v>78</v>
      </c>
      <c r="G63" s="2" t="s">
        <v>52</v>
      </c>
      <c r="H63" s="2">
        <v>1</v>
      </c>
      <c r="I63" s="2">
        <v>190</v>
      </c>
      <c r="J63" s="2">
        <v>0</v>
      </c>
      <c r="K63" s="2">
        <v>190</v>
      </c>
      <c r="L63" s="2">
        <v>0</v>
      </c>
      <c r="M63" s="2">
        <v>190</v>
      </c>
      <c r="N63" s="2" t="s">
        <v>31</v>
      </c>
      <c r="O63" s="2" t="s">
        <v>59</v>
      </c>
      <c r="P63" s="2" t="s">
        <v>25</v>
      </c>
      <c r="Q63" s="2" t="s">
        <v>26</v>
      </c>
      <c r="R63" s="2" t="str">
        <f t="shared" si="2"/>
        <v>Low</v>
      </c>
      <c r="S63" s="2" t="str">
        <f t="shared" si="3"/>
        <v>Low</v>
      </c>
    </row>
    <row r="64" spans="1:19" x14ac:dyDescent="0.25">
      <c r="A64" s="2" t="s">
        <v>233</v>
      </c>
      <c r="B64" s="6">
        <v>46114</v>
      </c>
      <c r="C64" s="10" t="s">
        <v>226</v>
      </c>
      <c r="D64" s="2" t="s">
        <v>73</v>
      </c>
      <c r="E64" s="2" t="s">
        <v>73</v>
      </c>
      <c r="F64" s="2" t="s">
        <v>110</v>
      </c>
      <c r="G64" s="2" t="s">
        <v>52</v>
      </c>
      <c r="H64" s="2">
        <v>1</v>
      </c>
      <c r="I64" s="2">
        <v>520</v>
      </c>
      <c r="J64" s="2">
        <v>0.2</v>
      </c>
      <c r="K64" s="2">
        <v>520</v>
      </c>
      <c r="L64" s="2">
        <v>104</v>
      </c>
      <c r="M64" s="2">
        <v>416</v>
      </c>
      <c r="N64" s="2" t="s">
        <v>23</v>
      </c>
      <c r="O64" s="2" t="s">
        <v>24</v>
      </c>
      <c r="P64" s="2" t="s">
        <v>25</v>
      </c>
      <c r="Q64" s="2" t="s">
        <v>42</v>
      </c>
      <c r="R64" s="2" t="str">
        <f t="shared" si="2"/>
        <v>Low</v>
      </c>
      <c r="S64" s="2" t="str">
        <f t="shared" si="3"/>
        <v>Low</v>
      </c>
    </row>
    <row r="65" spans="1:19" x14ac:dyDescent="0.25">
      <c r="A65" s="2" t="s">
        <v>234</v>
      </c>
      <c r="B65" s="6">
        <v>46236</v>
      </c>
      <c r="C65" s="10" t="s">
        <v>235</v>
      </c>
      <c r="D65" s="2" t="s">
        <v>29</v>
      </c>
      <c r="E65" s="2" t="s">
        <v>20</v>
      </c>
      <c r="F65" s="2" t="s">
        <v>112</v>
      </c>
      <c r="G65" s="2" t="s">
        <v>22</v>
      </c>
      <c r="H65" s="2">
        <v>1</v>
      </c>
      <c r="I65" s="2">
        <v>7030</v>
      </c>
      <c r="J65" s="2">
        <v>0.15</v>
      </c>
      <c r="K65" s="2">
        <v>7030</v>
      </c>
      <c r="L65" s="2">
        <v>1054.5</v>
      </c>
      <c r="M65" s="2">
        <v>5975.5</v>
      </c>
      <c r="N65" s="2" t="s">
        <v>23</v>
      </c>
      <c r="O65" s="2" t="s">
        <v>59</v>
      </c>
      <c r="P65" s="2" t="s">
        <v>75</v>
      </c>
      <c r="Q65" s="2" t="s">
        <v>63</v>
      </c>
      <c r="R65" s="2" t="str">
        <f t="shared" si="2"/>
        <v>Low</v>
      </c>
      <c r="S65" s="2" t="str">
        <f t="shared" si="3"/>
        <v>Low</v>
      </c>
    </row>
    <row r="66" spans="1:19" x14ac:dyDescent="0.25">
      <c r="A66" s="2" t="s">
        <v>43</v>
      </c>
      <c r="B66" s="6">
        <v>46034</v>
      </c>
      <c r="C66" s="10" t="s">
        <v>44</v>
      </c>
      <c r="D66" s="2" t="s">
        <v>45</v>
      </c>
      <c r="E66" s="2" t="s">
        <v>46</v>
      </c>
      <c r="F66" s="2" t="s">
        <v>39</v>
      </c>
      <c r="G66" s="2" t="s">
        <v>40</v>
      </c>
      <c r="H66" s="2">
        <v>5</v>
      </c>
      <c r="I66" s="2">
        <v>7980</v>
      </c>
      <c r="J66" s="2">
        <v>0</v>
      </c>
      <c r="K66" s="2">
        <v>39900</v>
      </c>
      <c r="L66" s="2">
        <v>0</v>
      </c>
      <c r="M66" s="2">
        <v>39900</v>
      </c>
      <c r="N66" s="2" t="s">
        <v>31</v>
      </c>
      <c r="O66" s="2" t="s">
        <v>47</v>
      </c>
      <c r="P66" s="2" t="s">
        <v>25</v>
      </c>
      <c r="Q66" s="2" t="s">
        <v>48</v>
      </c>
      <c r="R66" s="2" t="str">
        <f t="shared" ref="R66:R101" si="4">IF(M66&gt;=50000,"High","Low")</f>
        <v>Low</v>
      </c>
      <c r="S66" s="2" t="str">
        <f t="shared" ref="S66:S101" si="5">IF(M66&gt;=50000,"High",IF(M66&gt;=25000,"Medium","Low"))</f>
        <v>Medium</v>
      </c>
    </row>
    <row r="67" spans="1:19" x14ac:dyDescent="0.25">
      <c r="A67" s="2" t="s">
        <v>138</v>
      </c>
      <c r="B67" s="6">
        <v>46182</v>
      </c>
      <c r="C67" s="10" t="s">
        <v>139</v>
      </c>
      <c r="D67" s="2" t="s">
        <v>38</v>
      </c>
      <c r="E67" s="2" t="s">
        <v>20</v>
      </c>
      <c r="F67" s="2" t="s">
        <v>78</v>
      </c>
      <c r="G67" s="2" t="s">
        <v>52</v>
      </c>
      <c r="H67" s="2">
        <v>1</v>
      </c>
      <c r="I67" s="2">
        <v>200</v>
      </c>
      <c r="J67" s="2">
        <v>0.1</v>
      </c>
      <c r="K67" s="2">
        <v>200</v>
      </c>
      <c r="L67" s="2">
        <v>20</v>
      </c>
      <c r="M67" s="2">
        <v>180</v>
      </c>
      <c r="N67" s="2" t="s">
        <v>23</v>
      </c>
      <c r="O67" s="2" t="s">
        <v>59</v>
      </c>
      <c r="P67" s="2" t="s">
        <v>25</v>
      </c>
      <c r="Q67" s="2" t="s">
        <v>48</v>
      </c>
      <c r="R67" s="2" t="str">
        <f t="shared" si="4"/>
        <v>Low</v>
      </c>
      <c r="S67" s="2" t="str">
        <f t="shared" si="5"/>
        <v>Low</v>
      </c>
    </row>
    <row r="68" spans="1:19" x14ac:dyDescent="0.25">
      <c r="A68" s="2" t="s">
        <v>241</v>
      </c>
      <c r="B68" s="6">
        <v>46026</v>
      </c>
      <c r="C68" s="10" t="s">
        <v>242</v>
      </c>
      <c r="D68" s="2" t="s">
        <v>56</v>
      </c>
      <c r="E68" s="2" t="s">
        <v>20</v>
      </c>
      <c r="F68" s="2" t="s">
        <v>92</v>
      </c>
      <c r="G68" s="2" t="s">
        <v>40</v>
      </c>
      <c r="H68" s="2">
        <v>5</v>
      </c>
      <c r="I68" s="2">
        <v>6330</v>
      </c>
      <c r="J68" s="2">
        <v>0.15</v>
      </c>
      <c r="K68" s="2">
        <v>31650</v>
      </c>
      <c r="L68" s="2">
        <v>4747.5</v>
      </c>
      <c r="M68" s="2">
        <v>26902.5</v>
      </c>
      <c r="N68" s="2" t="s">
        <v>62</v>
      </c>
      <c r="O68" s="2" t="s">
        <v>59</v>
      </c>
      <c r="P68" s="2" t="s">
        <v>25</v>
      </c>
      <c r="Q68" s="2" t="s">
        <v>32</v>
      </c>
      <c r="R68" s="2" t="str">
        <f t="shared" si="4"/>
        <v>Low</v>
      </c>
      <c r="S68" s="2" t="str">
        <f t="shared" si="5"/>
        <v>Medium</v>
      </c>
    </row>
    <row r="69" spans="1:19" x14ac:dyDescent="0.25">
      <c r="A69" s="2" t="s">
        <v>36</v>
      </c>
      <c r="B69" s="6">
        <v>46209</v>
      </c>
      <c r="C69" s="10" t="s">
        <v>37</v>
      </c>
      <c r="D69" s="2" t="s">
        <v>38</v>
      </c>
      <c r="E69" s="2" t="s">
        <v>20</v>
      </c>
      <c r="F69" s="2" t="s">
        <v>39</v>
      </c>
      <c r="G69" s="2" t="s">
        <v>40</v>
      </c>
      <c r="H69" s="2">
        <v>5</v>
      </c>
      <c r="I69" s="2">
        <v>8100</v>
      </c>
      <c r="J69" s="2">
        <v>0</v>
      </c>
      <c r="K69" s="2">
        <v>40500</v>
      </c>
      <c r="L69" s="2">
        <v>0</v>
      </c>
      <c r="M69" s="2">
        <v>40500</v>
      </c>
      <c r="N69" s="2" t="s">
        <v>31</v>
      </c>
      <c r="O69" s="2" t="s">
        <v>41</v>
      </c>
      <c r="P69" s="2" t="s">
        <v>25</v>
      </c>
      <c r="Q69" s="2" t="s">
        <v>42</v>
      </c>
      <c r="R69" s="2" t="str">
        <f t="shared" si="4"/>
        <v>Low</v>
      </c>
      <c r="S69" s="2" t="str">
        <f t="shared" si="5"/>
        <v>Medium</v>
      </c>
    </row>
    <row r="70" spans="1:19" x14ac:dyDescent="0.25">
      <c r="A70" s="2" t="s">
        <v>149</v>
      </c>
      <c r="B70" s="6">
        <v>46190</v>
      </c>
      <c r="C70" s="10" t="s">
        <v>37</v>
      </c>
      <c r="D70" s="2" t="s">
        <v>56</v>
      </c>
      <c r="E70" s="2" t="s">
        <v>20</v>
      </c>
      <c r="F70" s="2" t="s">
        <v>92</v>
      </c>
      <c r="G70" s="2" t="s">
        <v>40</v>
      </c>
      <c r="H70" s="2">
        <v>4</v>
      </c>
      <c r="I70" s="2">
        <v>6370</v>
      </c>
      <c r="J70" s="2">
        <v>0.05</v>
      </c>
      <c r="K70" s="2">
        <v>25480</v>
      </c>
      <c r="L70" s="2">
        <v>1274</v>
      </c>
      <c r="M70" s="2">
        <v>24206</v>
      </c>
      <c r="N70" s="2" t="s">
        <v>31</v>
      </c>
      <c r="O70" s="2" t="s">
        <v>53</v>
      </c>
      <c r="P70" s="2" t="s">
        <v>25</v>
      </c>
      <c r="Q70" s="2" t="s">
        <v>32</v>
      </c>
      <c r="R70" s="2" t="str">
        <f t="shared" si="4"/>
        <v>Low</v>
      </c>
      <c r="S70" s="2" t="str">
        <f t="shared" si="5"/>
        <v>Low</v>
      </c>
    </row>
    <row r="71" spans="1:19" x14ac:dyDescent="0.25">
      <c r="A71" s="2" t="s">
        <v>71</v>
      </c>
      <c r="B71" s="6">
        <v>46243</v>
      </c>
      <c r="C71" s="10" t="s">
        <v>72</v>
      </c>
      <c r="D71" s="2" t="s">
        <v>73</v>
      </c>
      <c r="E71" s="2" t="s">
        <v>73</v>
      </c>
      <c r="F71" s="2" t="s">
        <v>74</v>
      </c>
      <c r="G71" s="2" t="s">
        <v>22</v>
      </c>
      <c r="H71" s="2">
        <v>4</v>
      </c>
      <c r="I71" s="2">
        <v>3020</v>
      </c>
      <c r="J71" s="2">
        <v>0.2</v>
      </c>
      <c r="K71" s="2">
        <v>12080</v>
      </c>
      <c r="L71" s="2">
        <v>2416</v>
      </c>
      <c r="M71" s="2">
        <v>9664</v>
      </c>
      <c r="N71" s="2" t="s">
        <v>62</v>
      </c>
      <c r="O71" s="2" t="s">
        <v>59</v>
      </c>
      <c r="P71" s="2" t="s">
        <v>75</v>
      </c>
      <c r="Q71" s="2" t="s">
        <v>26</v>
      </c>
      <c r="R71" s="2" t="str">
        <f t="shared" si="4"/>
        <v>Low</v>
      </c>
      <c r="S71" s="2" t="str">
        <f t="shared" si="5"/>
        <v>Low</v>
      </c>
    </row>
    <row r="72" spans="1:19" x14ac:dyDescent="0.25">
      <c r="A72" s="2" t="s">
        <v>121</v>
      </c>
      <c r="B72" s="6">
        <v>46090</v>
      </c>
      <c r="C72" s="10" t="s">
        <v>72</v>
      </c>
      <c r="D72" s="2" t="s">
        <v>88</v>
      </c>
      <c r="E72" s="2" t="s">
        <v>89</v>
      </c>
      <c r="F72" s="2" t="s">
        <v>122</v>
      </c>
      <c r="G72" s="2" t="s">
        <v>58</v>
      </c>
      <c r="H72" s="2">
        <v>1</v>
      </c>
      <c r="I72" s="2">
        <v>870</v>
      </c>
      <c r="J72" s="2">
        <v>0.05</v>
      </c>
      <c r="K72" s="2">
        <v>870</v>
      </c>
      <c r="L72" s="2">
        <v>43.5</v>
      </c>
      <c r="M72" s="2">
        <v>826.5</v>
      </c>
      <c r="N72" s="2" t="s">
        <v>31</v>
      </c>
      <c r="O72" s="2" t="s">
        <v>59</v>
      </c>
      <c r="P72" s="2" t="s">
        <v>25</v>
      </c>
      <c r="Q72" s="2" t="s">
        <v>42</v>
      </c>
      <c r="R72" s="2" t="str">
        <f t="shared" si="4"/>
        <v>Low</v>
      </c>
      <c r="S72" s="2" t="str">
        <f t="shared" si="5"/>
        <v>Low</v>
      </c>
    </row>
    <row r="73" spans="1:19" x14ac:dyDescent="0.25">
      <c r="A73" s="2" t="s">
        <v>165</v>
      </c>
      <c r="B73" s="6">
        <v>46044</v>
      </c>
      <c r="C73" s="10" t="s">
        <v>166</v>
      </c>
      <c r="D73" s="2" t="s">
        <v>88</v>
      </c>
      <c r="E73" s="2" t="s">
        <v>89</v>
      </c>
      <c r="F73" s="2" t="s">
        <v>21</v>
      </c>
      <c r="G73" s="2" t="s">
        <v>22</v>
      </c>
      <c r="H73" s="2">
        <v>4</v>
      </c>
      <c r="I73" s="2">
        <v>56010</v>
      </c>
      <c r="J73" s="2">
        <v>0</v>
      </c>
      <c r="K73" s="2">
        <v>224040</v>
      </c>
      <c r="L73" s="2">
        <v>0</v>
      </c>
      <c r="M73" s="2">
        <v>224040</v>
      </c>
      <c r="N73" s="2" t="s">
        <v>31</v>
      </c>
      <c r="O73" s="2" t="s">
        <v>47</v>
      </c>
      <c r="P73" s="2" t="s">
        <v>25</v>
      </c>
      <c r="Q73" s="2" t="s">
        <v>42</v>
      </c>
      <c r="R73" s="2" t="str">
        <f t="shared" si="4"/>
        <v>High</v>
      </c>
      <c r="S73" s="2" t="str">
        <f t="shared" si="5"/>
        <v>High</v>
      </c>
    </row>
    <row r="74" spans="1:19" x14ac:dyDescent="0.25">
      <c r="A74" s="2" t="s">
        <v>60</v>
      </c>
      <c r="B74" s="6">
        <v>46247</v>
      </c>
      <c r="C74" s="10" t="s">
        <v>61</v>
      </c>
      <c r="D74" s="2" t="s">
        <v>35</v>
      </c>
      <c r="E74" s="2" t="s">
        <v>20</v>
      </c>
      <c r="F74" s="2" t="s">
        <v>30</v>
      </c>
      <c r="G74" s="2" t="s">
        <v>22</v>
      </c>
      <c r="H74" s="2">
        <v>2</v>
      </c>
      <c r="I74" s="2">
        <v>19490</v>
      </c>
      <c r="J74" s="2">
        <v>0.2</v>
      </c>
      <c r="K74" s="2">
        <v>38980</v>
      </c>
      <c r="L74" s="2">
        <v>7796</v>
      </c>
      <c r="M74" s="2">
        <v>31184</v>
      </c>
      <c r="N74" s="2" t="s">
        <v>62</v>
      </c>
      <c r="O74" s="2" t="s">
        <v>24</v>
      </c>
      <c r="P74" s="2" t="s">
        <v>25</v>
      </c>
      <c r="Q74" s="2" t="s">
        <v>63</v>
      </c>
      <c r="R74" s="2" t="str">
        <f t="shared" si="4"/>
        <v>Low</v>
      </c>
      <c r="S74" s="2" t="str">
        <f t="shared" si="5"/>
        <v>Medium</v>
      </c>
    </row>
    <row r="75" spans="1:19" x14ac:dyDescent="0.25">
      <c r="A75" s="2" t="s">
        <v>238</v>
      </c>
      <c r="B75" s="6">
        <v>46214</v>
      </c>
      <c r="C75" s="10" t="s">
        <v>239</v>
      </c>
      <c r="D75" s="2" t="s">
        <v>38</v>
      </c>
      <c r="E75" s="2" t="s">
        <v>20</v>
      </c>
      <c r="F75" s="2" t="s">
        <v>66</v>
      </c>
      <c r="G75" s="2" t="s">
        <v>22</v>
      </c>
      <c r="H75" s="2">
        <v>1</v>
      </c>
      <c r="I75" s="2">
        <v>4870</v>
      </c>
      <c r="J75" s="2">
        <v>0.1</v>
      </c>
      <c r="K75" s="2">
        <v>4870</v>
      </c>
      <c r="L75" s="2">
        <v>487</v>
      </c>
      <c r="M75" s="2">
        <v>4383</v>
      </c>
      <c r="N75" s="2" t="s">
        <v>23</v>
      </c>
      <c r="O75" s="2" t="s">
        <v>59</v>
      </c>
      <c r="P75" s="2" t="s">
        <v>25</v>
      </c>
      <c r="Q75" s="2" t="s">
        <v>32</v>
      </c>
      <c r="R75" s="2" t="str">
        <f t="shared" si="4"/>
        <v>Low</v>
      </c>
      <c r="S75" s="2" t="str">
        <f t="shared" si="5"/>
        <v>Low</v>
      </c>
    </row>
    <row r="76" spans="1:19" x14ac:dyDescent="0.25">
      <c r="A76" s="2" t="s">
        <v>115</v>
      </c>
      <c r="B76" s="6">
        <v>46194</v>
      </c>
      <c r="C76" s="10" t="s">
        <v>116</v>
      </c>
      <c r="D76" s="2" t="s">
        <v>45</v>
      </c>
      <c r="E76" s="2" t="s">
        <v>46</v>
      </c>
      <c r="F76" s="2" t="s">
        <v>70</v>
      </c>
      <c r="G76" s="2" t="s">
        <v>22</v>
      </c>
      <c r="H76" s="2">
        <v>3</v>
      </c>
      <c r="I76" s="2">
        <v>3480</v>
      </c>
      <c r="J76" s="2">
        <v>0.05</v>
      </c>
      <c r="K76" s="2">
        <v>10440</v>
      </c>
      <c r="L76" s="2">
        <v>522</v>
      </c>
      <c r="M76" s="2">
        <v>9918</v>
      </c>
      <c r="N76" s="2" t="s">
        <v>62</v>
      </c>
      <c r="O76" s="2" t="s">
        <v>53</v>
      </c>
      <c r="P76" s="2" t="s">
        <v>25</v>
      </c>
      <c r="Q76" s="2" t="s">
        <v>42</v>
      </c>
      <c r="R76" s="2" t="str">
        <f t="shared" si="4"/>
        <v>Low</v>
      </c>
      <c r="S76" s="2" t="str">
        <f t="shared" si="5"/>
        <v>Low</v>
      </c>
    </row>
    <row r="77" spans="1:19" x14ac:dyDescent="0.25">
      <c r="A77" s="2" t="s">
        <v>128</v>
      </c>
      <c r="B77" s="6">
        <v>46223</v>
      </c>
      <c r="C77" s="10" t="s">
        <v>116</v>
      </c>
      <c r="D77" s="2" t="s">
        <v>69</v>
      </c>
      <c r="E77" s="2" t="s">
        <v>20</v>
      </c>
      <c r="F77" s="2" t="s">
        <v>57</v>
      </c>
      <c r="G77" s="2" t="s">
        <v>58</v>
      </c>
      <c r="H77" s="2">
        <v>4</v>
      </c>
      <c r="I77" s="2">
        <v>1090</v>
      </c>
      <c r="J77" s="2">
        <v>0.1</v>
      </c>
      <c r="K77" s="2">
        <v>4360</v>
      </c>
      <c r="L77" s="2">
        <v>436</v>
      </c>
      <c r="M77" s="2">
        <v>3924</v>
      </c>
      <c r="N77" s="2" t="s">
        <v>31</v>
      </c>
      <c r="O77" s="2" t="s">
        <v>47</v>
      </c>
      <c r="P77" s="2" t="s">
        <v>75</v>
      </c>
      <c r="Q77" s="2" t="s">
        <v>48</v>
      </c>
      <c r="R77" s="2" t="str">
        <f t="shared" si="4"/>
        <v>Low</v>
      </c>
      <c r="S77" s="2" t="str">
        <f t="shared" si="5"/>
        <v>Low</v>
      </c>
    </row>
    <row r="78" spans="1:19" x14ac:dyDescent="0.25">
      <c r="A78" s="2" t="s">
        <v>180</v>
      </c>
      <c r="B78" s="6">
        <v>46094</v>
      </c>
      <c r="C78" s="10" t="s">
        <v>181</v>
      </c>
      <c r="D78" s="2" t="s">
        <v>35</v>
      </c>
      <c r="E78" s="2" t="s">
        <v>20</v>
      </c>
      <c r="F78" s="2" t="s">
        <v>101</v>
      </c>
      <c r="G78" s="2" t="s">
        <v>58</v>
      </c>
      <c r="H78" s="2">
        <v>2</v>
      </c>
      <c r="I78" s="2">
        <v>1920</v>
      </c>
      <c r="J78" s="2">
        <v>0</v>
      </c>
      <c r="K78" s="2">
        <v>3840</v>
      </c>
      <c r="L78" s="2">
        <v>0</v>
      </c>
      <c r="M78" s="2">
        <v>3840</v>
      </c>
      <c r="N78" s="2" t="s">
        <v>23</v>
      </c>
      <c r="O78" s="2" t="s">
        <v>41</v>
      </c>
      <c r="P78" s="2" t="s">
        <v>155</v>
      </c>
      <c r="Q78" s="2" t="s">
        <v>48</v>
      </c>
      <c r="R78" s="2" t="str">
        <f t="shared" si="4"/>
        <v>Low</v>
      </c>
      <c r="S78" s="2" t="str">
        <f t="shared" si="5"/>
        <v>Low</v>
      </c>
    </row>
    <row r="79" spans="1:19" x14ac:dyDescent="0.25">
      <c r="A79" s="2" t="s">
        <v>129</v>
      </c>
      <c r="B79" s="6">
        <v>46112</v>
      </c>
      <c r="C79" s="10" t="s">
        <v>130</v>
      </c>
      <c r="D79" s="2" t="s">
        <v>29</v>
      </c>
      <c r="E79" s="2" t="s">
        <v>20</v>
      </c>
      <c r="F79" s="2" t="s">
        <v>110</v>
      </c>
      <c r="G79" s="2" t="s">
        <v>52</v>
      </c>
      <c r="H79" s="2">
        <v>2</v>
      </c>
      <c r="I79" s="2">
        <v>520</v>
      </c>
      <c r="J79" s="2">
        <v>0.15</v>
      </c>
      <c r="K79" s="2">
        <v>1040</v>
      </c>
      <c r="L79" s="2">
        <v>156</v>
      </c>
      <c r="M79" s="2">
        <v>884</v>
      </c>
      <c r="N79" s="2" t="s">
        <v>31</v>
      </c>
      <c r="O79" s="2" t="s">
        <v>53</v>
      </c>
      <c r="P79" s="2" t="s">
        <v>25</v>
      </c>
      <c r="Q79" s="2" t="s">
        <v>48</v>
      </c>
      <c r="R79" s="2" t="str">
        <f t="shared" si="4"/>
        <v>Low</v>
      </c>
      <c r="S79" s="2" t="str">
        <f t="shared" si="5"/>
        <v>Low</v>
      </c>
    </row>
    <row r="80" spans="1:19" x14ac:dyDescent="0.25">
      <c r="A80" s="2" t="s">
        <v>90</v>
      </c>
      <c r="B80" s="6">
        <v>46138</v>
      </c>
      <c r="C80" s="10" t="s">
        <v>91</v>
      </c>
      <c r="D80" s="2" t="s">
        <v>35</v>
      </c>
      <c r="E80" s="2" t="s">
        <v>20</v>
      </c>
      <c r="F80" s="2" t="s">
        <v>92</v>
      </c>
      <c r="G80" s="2" t="s">
        <v>40</v>
      </c>
      <c r="H80" s="2">
        <v>3</v>
      </c>
      <c r="I80" s="2">
        <v>6420</v>
      </c>
      <c r="J80" s="2">
        <v>0.2</v>
      </c>
      <c r="K80" s="2">
        <v>19260</v>
      </c>
      <c r="L80" s="2">
        <v>3852</v>
      </c>
      <c r="M80" s="2">
        <v>15408</v>
      </c>
      <c r="N80" s="2" t="s">
        <v>62</v>
      </c>
      <c r="O80" s="2" t="s">
        <v>47</v>
      </c>
      <c r="P80" s="2" t="s">
        <v>25</v>
      </c>
      <c r="Q80" s="2" t="s">
        <v>32</v>
      </c>
      <c r="R80" s="2" t="str">
        <f t="shared" si="4"/>
        <v>Low</v>
      </c>
      <c r="S80" s="2" t="str">
        <f t="shared" si="5"/>
        <v>Low</v>
      </c>
    </row>
    <row r="81" spans="1:19" x14ac:dyDescent="0.25">
      <c r="A81" s="2" t="s">
        <v>93</v>
      </c>
      <c r="B81" s="6">
        <v>46204</v>
      </c>
      <c r="C81" s="10" t="s">
        <v>91</v>
      </c>
      <c r="D81" s="2" t="s">
        <v>88</v>
      </c>
      <c r="E81" s="2" t="s">
        <v>89</v>
      </c>
      <c r="F81" s="2" t="s">
        <v>94</v>
      </c>
      <c r="G81" s="2" t="s">
        <v>22</v>
      </c>
      <c r="H81" s="2">
        <v>5</v>
      </c>
      <c r="I81" s="2">
        <v>11330</v>
      </c>
      <c r="J81" s="2">
        <v>0</v>
      </c>
      <c r="K81" s="2">
        <v>56650</v>
      </c>
      <c r="L81" s="2">
        <v>0</v>
      </c>
      <c r="M81" s="2">
        <v>56650</v>
      </c>
      <c r="N81" s="2" t="s">
        <v>31</v>
      </c>
      <c r="O81" s="2" t="s">
        <v>59</v>
      </c>
      <c r="P81" s="2" t="s">
        <v>25</v>
      </c>
      <c r="Q81" s="2" t="s">
        <v>26</v>
      </c>
      <c r="R81" s="2" t="str">
        <f t="shared" si="4"/>
        <v>High</v>
      </c>
      <c r="S81" s="2" t="str">
        <f t="shared" si="5"/>
        <v>High</v>
      </c>
    </row>
    <row r="82" spans="1:19" x14ac:dyDescent="0.25">
      <c r="A82" s="2" t="s">
        <v>187</v>
      </c>
      <c r="B82" s="6">
        <v>46092</v>
      </c>
      <c r="C82" s="10" t="s">
        <v>91</v>
      </c>
      <c r="D82" s="2" t="s">
        <v>38</v>
      </c>
      <c r="E82" s="2" t="s">
        <v>20</v>
      </c>
      <c r="F82" s="2" t="s">
        <v>78</v>
      </c>
      <c r="G82" s="2" t="s">
        <v>52</v>
      </c>
      <c r="H82" s="2">
        <v>5</v>
      </c>
      <c r="I82" s="2">
        <v>170</v>
      </c>
      <c r="J82" s="2">
        <v>0.15</v>
      </c>
      <c r="K82" s="2">
        <v>850</v>
      </c>
      <c r="L82" s="2">
        <v>127.5</v>
      </c>
      <c r="M82" s="2">
        <v>722.5</v>
      </c>
      <c r="N82" s="2" t="s">
        <v>23</v>
      </c>
      <c r="O82" s="2" t="s">
        <v>53</v>
      </c>
      <c r="P82" s="2" t="s">
        <v>25</v>
      </c>
      <c r="Q82" s="2" t="s">
        <v>42</v>
      </c>
      <c r="R82" s="2" t="str">
        <f t="shared" si="4"/>
        <v>Low</v>
      </c>
      <c r="S82" s="2" t="str">
        <f t="shared" si="5"/>
        <v>Low</v>
      </c>
    </row>
    <row r="83" spans="1:19" x14ac:dyDescent="0.25">
      <c r="A83" s="2" t="s">
        <v>95</v>
      </c>
      <c r="B83" s="6">
        <v>46161</v>
      </c>
      <c r="C83" s="10" t="s">
        <v>96</v>
      </c>
      <c r="D83" s="2" t="s">
        <v>88</v>
      </c>
      <c r="E83" s="2" t="s">
        <v>89</v>
      </c>
      <c r="F83" s="2" t="s">
        <v>94</v>
      </c>
      <c r="G83" s="2" t="s">
        <v>22</v>
      </c>
      <c r="H83" s="2">
        <v>3</v>
      </c>
      <c r="I83" s="2">
        <v>12410</v>
      </c>
      <c r="J83" s="2">
        <v>0.05</v>
      </c>
      <c r="K83" s="2">
        <v>37230</v>
      </c>
      <c r="L83" s="2">
        <v>1861.5</v>
      </c>
      <c r="M83" s="2">
        <v>35368.5</v>
      </c>
      <c r="N83" s="2" t="s">
        <v>62</v>
      </c>
      <c r="O83" s="2" t="s">
        <v>53</v>
      </c>
      <c r="P83" s="2" t="s">
        <v>25</v>
      </c>
      <c r="Q83" s="2" t="s">
        <v>48</v>
      </c>
      <c r="R83" s="2" t="str">
        <f t="shared" si="4"/>
        <v>Low</v>
      </c>
      <c r="S83" s="2" t="str">
        <f t="shared" si="5"/>
        <v>Medium</v>
      </c>
    </row>
    <row r="84" spans="1:19" x14ac:dyDescent="0.25">
      <c r="A84" s="2" t="s">
        <v>185</v>
      </c>
      <c r="B84" s="6">
        <v>46200</v>
      </c>
      <c r="C84" s="10" t="s">
        <v>186</v>
      </c>
      <c r="D84" s="2" t="s">
        <v>106</v>
      </c>
      <c r="E84" s="2" t="s">
        <v>107</v>
      </c>
      <c r="F84" s="2" t="s">
        <v>21</v>
      </c>
      <c r="G84" s="2" t="s">
        <v>22</v>
      </c>
      <c r="H84" s="2">
        <v>1</v>
      </c>
      <c r="I84" s="2">
        <v>52740</v>
      </c>
      <c r="J84" s="2">
        <v>0.15</v>
      </c>
      <c r="K84" s="2">
        <v>52740</v>
      </c>
      <c r="L84" s="2">
        <v>7911</v>
      </c>
      <c r="M84" s="2">
        <v>44829</v>
      </c>
      <c r="N84" s="2" t="s">
        <v>62</v>
      </c>
      <c r="O84" s="2" t="s">
        <v>41</v>
      </c>
      <c r="P84" s="2" t="s">
        <v>25</v>
      </c>
      <c r="Q84" s="2" t="s">
        <v>32</v>
      </c>
      <c r="R84" s="2" t="str">
        <f t="shared" si="4"/>
        <v>Low</v>
      </c>
      <c r="S84" s="2" t="str">
        <f t="shared" si="5"/>
        <v>Medium</v>
      </c>
    </row>
    <row r="85" spans="1:19" x14ac:dyDescent="0.25">
      <c r="A85" s="2" t="s">
        <v>83</v>
      </c>
      <c r="B85" s="6">
        <v>46084</v>
      </c>
      <c r="C85" s="10" t="s">
        <v>84</v>
      </c>
      <c r="D85" s="2" t="s">
        <v>29</v>
      </c>
      <c r="E85" s="2" t="s">
        <v>20</v>
      </c>
      <c r="F85" s="2" t="s">
        <v>85</v>
      </c>
      <c r="G85" s="2" t="s">
        <v>22</v>
      </c>
      <c r="H85" s="2">
        <v>3</v>
      </c>
      <c r="I85" s="2">
        <v>2690</v>
      </c>
      <c r="J85" s="2">
        <v>0.1</v>
      </c>
      <c r="K85" s="2">
        <v>8070</v>
      </c>
      <c r="L85" s="2">
        <v>807</v>
      </c>
      <c r="M85" s="2">
        <v>7263</v>
      </c>
      <c r="N85" s="2" t="s">
        <v>31</v>
      </c>
      <c r="O85" s="2" t="s">
        <v>24</v>
      </c>
      <c r="P85" s="2" t="s">
        <v>25</v>
      </c>
      <c r="Q85" s="2" t="s">
        <v>26</v>
      </c>
      <c r="R85" s="2" t="str">
        <f t="shared" si="4"/>
        <v>Low</v>
      </c>
      <c r="S85" s="2" t="str">
        <f t="shared" si="5"/>
        <v>Low</v>
      </c>
    </row>
    <row r="86" spans="1:19" x14ac:dyDescent="0.25">
      <c r="A86" s="2" t="s">
        <v>64</v>
      </c>
      <c r="B86" s="6">
        <v>46090</v>
      </c>
      <c r="C86" s="10" t="s">
        <v>65</v>
      </c>
      <c r="D86" s="2" t="s">
        <v>35</v>
      </c>
      <c r="E86" s="2" t="s">
        <v>20</v>
      </c>
      <c r="F86" s="2" t="s">
        <v>66</v>
      </c>
      <c r="G86" s="2" t="s">
        <v>22</v>
      </c>
      <c r="H86" s="2">
        <v>2</v>
      </c>
      <c r="I86" s="2">
        <v>4720</v>
      </c>
      <c r="J86" s="2">
        <v>0.2</v>
      </c>
      <c r="K86" s="2">
        <v>9440</v>
      </c>
      <c r="L86" s="2">
        <v>1888</v>
      </c>
      <c r="M86" s="2">
        <v>7552</v>
      </c>
      <c r="N86" s="2" t="s">
        <v>62</v>
      </c>
      <c r="O86" s="2" t="s">
        <v>59</v>
      </c>
      <c r="P86" s="2" t="s">
        <v>25</v>
      </c>
      <c r="Q86" s="2" t="s">
        <v>63</v>
      </c>
      <c r="R86" s="2" t="str">
        <f t="shared" si="4"/>
        <v>Low</v>
      </c>
      <c r="S86" s="2" t="str">
        <f t="shared" si="5"/>
        <v>Low</v>
      </c>
    </row>
    <row r="87" spans="1:19" x14ac:dyDescent="0.25">
      <c r="A87" s="2" t="s">
        <v>127</v>
      </c>
      <c r="B87" s="6">
        <v>46113</v>
      </c>
      <c r="C87" s="10" t="s">
        <v>65</v>
      </c>
      <c r="D87" s="2" t="s">
        <v>29</v>
      </c>
      <c r="E87" s="2" t="s">
        <v>20</v>
      </c>
      <c r="F87" s="2" t="s">
        <v>39</v>
      </c>
      <c r="G87" s="2" t="s">
        <v>40</v>
      </c>
      <c r="H87" s="2">
        <v>2</v>
      </c>
      <c r="I87" s="2">
        <v>8810</v>
      </c>
      <c r="J87" s="2">
        <v>0</v>
      </c>
      <c r="K87" s="2">
        <v>17620</v>
      </c>
      <c r="L87" s="2">
        <v>0</v>
      </c>
      <c r="M87" s="2">
        <v>17620</v>
      </c>
      <c r="N87" s="2" t="s">
        <v>23</v>
      </c>
      <c r="O87" s="2" t="s">
        <v>53</v>
      </c>
      <c r="P87" s="2" t="s">
        <v>25</v>
      </c>
      <c r="Q87" s="2" t="s">
        <v>63</v>
      </c>
      <c r="R87" s="2" t="str">
        <f t="shared" si="4"/>
        <v>Low</v>
      </c>
      <c r="S87" s="2" t="str">
        <f t="shared" si="5"/>
        <v>Low</v>
      </c>
    </row>
    <row r="88" spans="1:19" x14ac:dyDescent="0.25">
      <c r="A88" s="2" t="s">
        <v>231</v>
      </c>
      <c r="B88" s="6">
        <v>46173</v>
      </c>
      <c r="C88" s="10" t="s">
        <v>232</v>
      </c>
      <c r="D88" s="2" t="s">
        <v>35</v>
      </c>
      <c r="E88" s="2" t="s">
        <v>20</v>
      </c>
      <c r="F88" s="2" t="s">
        <v>144</v>
      </c>
      <c r="G88" s="2" t="s">
        <v>58</v>
      </c>
      <c r="H88" s="2">
        <v>2</v>
      </c>
      <c r="I88" s="2">
        <v>1460</v>
      </c>
      <c r="J88" s="2">
        <v>0.1</v>
      </c>
      <c r="K88" s="2">
        <v>2920</v>
      </c>
      <c r="L88" s="2">
        <v>292</v>
      </c>
      <c r="M88" s="2">
        <v>2628</v>
      </c>
      <c r="N88" s="2" t="s">
        <v>62</v>
      </c>
      <c r="O88" s="2" t="s">
        <v>59</v>
      </c>
      <c r="P88" s="2" t="s">
        <v>25</v>
      </c>
      <c r="Q88" s="2" t="s">
        <v>63</v>
      </c>
      <c r="R88" s="2" t="str">
        <f t="shared" si="4"/>
        <v>Low</v>
      </c>
      <c r="S88" s="2" t="str">
        <f t="shared" si="5"/>
        <v>Low</v>
      </c>
    </row>
    <row r="89" spans="1:19" x14ac:dyDescent="0.25">
      <c r="A89" s="2" t="s">
        <v>134</v>
      </c>
      <c r="B89" s="6">
        <v>46032</v>
      </c>
      <c r="C89" s="10" t="s">
        <v>135</v>
      </c>
      <c r="D89" s="2" t="s">
        <v>35</v>
      </c>
      <c r="E89" s="2" t="s">
        <v>20</v>
      </c>
      <c r="F89" s="2" t="s">
        <v>57</v>
      </c>
      <c r="G89" s="2" t="s">
        <v>58</v>
      </c>
      <c r="H89" s="2">
        <v>5</v>
      </c>
      <c r="I89" s="2">
        <v>1310</v>
      </c>
      <c r="J89" s="2">
        <v>0.1</v>
      </c>
      <c r="K89" s="2">
        <v>6550</v>
      </c>
      <c r="L89" s="2">
        <v>655</v>
      </c>
      <c r="M89" s="2">
        <v>5895</v>
      </c>
      <c r="N89" s="2" t="s">
        <v>23</v>
      </c>
      <c r="O89" s="2" t="s">
        <v>59</v>
      </c>
      <c r="P89" s="2" t="s">
        <v>25</v>
      </c>
      <c r="Q89" s="2" t="s">
        <v>48</v>
      </c>
      <c r="R89" s="2" t="str">
        <f t="shared" si="4"/>
        <v>Low</v>
      </c>
      <c r="S89" s="2" t="str">
        <f t="shared" si="5"/>
        <v>Low</v>
      </c>
    </row>
    <row r="90" spans="1:19" x14ac:dyDescent="0.25">
      <c r="A90" s="2" t="s">
        <v>158</v>
      </c>
      <c r="B90" s="6">
        <v>46203</v>
      </c>
      <c r="C90" s="10" t="s">
        <v>159</v>
      </c>
      <c r="D90" s="2" t="s">
        <v>69</v>
      </c>
      <c r="E90" s="2" t="s">
        <v>20</v>
      </c>
      <c r="F90" s="2" t="s">
        <v>66</v>
      </c>
      <c r="G90" s="2" t="s">
        <v>22</v>
      </c>
      <c r="H90" s="2">
        <v>2</v>
      </c>
      <c r="I90" s="2">
        <v>4390</v>
      </c>
      <c r="J90" s="2">
        <v>0.05</v>
      </c>
      <c r="K90" s="2">
        <v>8780</v>
      </c>
      <c r="L90" s="2">
        <v>439</v>
      </c>
      <c r="M90" s="2">
        <v>8341</v>
      </c>
      <c r="N90" s="2" t="s">
        <v>62</v>
      </c>
      <c r="O90" s="2" t="s">
        <v>41</v>
      </c>
      <c r="P90" s="2" t="s">
        <v>25</v>
      </c>
      <c r="Q90" s="2" t="s">
        <v>48</v>
      </c>
      <c r="R90" s="2" t="str">
        <f t="shared" si="4"/>
        <v>Low</v>
      </c>
      <c r="S90" s="2" t="str">
        <f t="shared" si="5"/>
        <v>Low</v>
      </c>
    </row>
    <row r="91" spans="1:19" x14ac:dyDescent="0.25">
      <c r="A91" s="2" t="s">
        <v>136</v>
      </c>
      <c r="B91" s="6">
        <v>46071</v>
      </c>
      <c r="C91" s="10" t="s">
        <v>137</v>
      </c>
      <c r="D91" s="2" t="s">
        <v>45</v>
      </c>
      <c r="E91" s="2" t="s">
        <v>46</v>
      </c>
      <c r="F91" s="2" t="s">
        <v>70</v>
      </c>
      <c r="G91" s="2" t="s">
        <v>22</v>
      </c>
      <c r="H91" s="2">
        <v>1</v>
      </c>
      <c r="I91" s="2">
        <v>3130</v>
      </c>
      <c r="J91" s="2">
        <v>0.2</v>
      </c>
      <c r="K91" s="2">
        <v>3130</v>
      </c>
      <c r="L91" s="2">
        <v>626</v>
      </c>
      <c r="M91" s="2">
        <v>2504</v>
      </c>
      <c r="N91" s="2" t="s">
        <v>23</v>
      </c>
      <c r="O91" s="2" t="s">
        <v>41</v>
      </c>
      <c r="P91" s="2" t="s">
        <v>25</v>
      </c>
      <c r="Q91" s="2" t="s">
        <v>63</v>
      </c>
      <c r="R91" s="2" t="str">
        <f t="shared" si="4"/>
        <v>Low</v>
      </c>
      <c r="S91" s="2" t="str">
        <f t="shared" si="5"/>
        <v>Low</v>
      </c>
    </row>
    <row r="92" spans="1:19" x14ac:dyDescent="0.25">
      <c r="A92" s="2" t="s">
        <v>99</v>
      </c>
      <c r="B92" s="6">
        <v>46160</v>
      </c>
      <c r="C92" s="10" t="s">
        <v>100</v>
      </c>
      <c r="D92" s="2" t="s">
        <v>73</v>
      </c>
      <c r="E92" s="2" t="s">
        <v>73</v>
      </c>
      <c r="F92" s="2" t="s">
        <v>101</v>
      </c>
      <c r="G92" s="2" t="s">
        <v>58</v>
      </c>
      <c r="H92" s="2">
        <v>1</v>
      </c>
      <c r="I92" s="2">
        <v>1710</v>
      </c>
      <c r="J92" s="2">
        <v>0.05</v>
      </c>
      <c r="K92" s="2">
        <v>1710</v>
      </c>
      <c r="L92" s="2">
        <v>85.5</v>
      </c>
      <c r="M92" s="2">
        <v>1624.5</v>
      </c>
      <c r="N92" s="2" t="s">
        <v>62</v>
      </c>
      <c r="O92" s="2" t="s">
        <v>24</v>
      </c>
      <c r="P92" s="2" t="s">
        <v>25</v>
      </c>
      <c r="Q92" s="2" t="s">
        <v>63</v>
      </c>
      <c r="R92" s="2" t="str">
        <f t="shared" si="4"/>
        <v>Low</v>
      </c>
      <c r="S92" s="2" t="str">
        <f t="shared" si="5"/>
        <v>Low</v>
      </c>
    </row>
    <row r="93" spans="1:19" x14ac:dyDescent="0.25">
      <c r="A93" s="2" t="s">
        <v>126</v>
      </c>
      <c r="B93" s="6">
        <v>46172</v>
      </c>
      <c r="C93" s="10" t="s">
        <v>100</v>
      </c>
      <c r="D93" s="2" t="s">
        <v>19</v>
      </c>
      <c r="E93" s="2" t="s">
        <v>20</v>
      </c>
      <c r="F93" s="2" t="s">
        <v>66</v>
      </c>
      <c r="G93" s="2" t="s">
        <v>22</v>
      </c>
      <c r="H93" s="2">
        <v>5</v>
      </c>
      <c r="I93" s="2">
        <v>4080</v>
      </c>
      <c r="J93" s="2">
        <v>0.1</v>
      </c>
      <c r="K93" s="2">
        <v>20400</v>
      </c>
      <c r="L93" s="2">
        <v>2040</v>
      </c>
      <c r="M93" s="2">
        <v>18360</v>
      </c>
      <c r="N93" s="2" t="s">
        <v>31</v>
      </c>
      <c r="O93" s="2" t="s">
        <v>59</v>
      </c>
      <c r="P93" s="2" t="s">
        <v>25</v>
      </c>
      <c r="Q93" s="2" t="s">
        <v>42</v>
      </c>
      <c r="R93" s="2" t="str">
        <f t="shared" si="4"/>
        <v>Low</v>
      </c>
      <c r="S93" s="2" t="str">
        <f t="shared" si="5"/>
        <v>Low</v>
      </c>
    </row>
    <row r="94" spans="1:19" x14ac:dyDescent="0.25">
      <c r="A94" s="2" t="s">
        <v>200</v>
      </c>
      <c r="B94" s="6">
        <v>46041</v>
      </c>
      <c r="C94" s="10" t="s">
        <v>201</v>
      </c>
      <c r="D94" s="2" t="s">
        <v>56</v>
      </c>
      <c r="E94" s="2" t="s">
        <v>20</v>
      </c>
      <c r="F94" s="2" t="s">
        <v>122</v>
      </c>
      <c r="G94" s="2" t="s">
        <v>58</v>
      </c>
      <c r="H94" s="2">
        <v>3</v>
      </c>
      <c r="I94" s="2">
        <v>830</v>
      </c>
      <c r="J94" s="2">
        <v>0.15</v>
      </c>
      <c r="K94" s="2">
        <v>2490</v>
      </c>
      <c r="L94" s="2">
        <v>373.5</v>
      </c>
      <c r="M94" s="2">
        <v>2116.5</v>
      </c>
      <c r="N94" s="2" t="s">
        <v>23</v>
      </c>
      <c r="O94" s="2" t="s">
        <v>53</v>
      </c>
      <c r="P94" s="2" t="s">
        <v>25</v>
      </c>
      <c r="Q94" s="2" t="s">
        <v>48</v>
      </c>
      <c r="R94" s="2" t="str">
        <f t="shared" si="4"/>
        <v>Low</v>
      </c>
      <c r="S94" s="2" t="str">
        <f t="shared" si="5"/>
        <v>Low</v>
      </c>
    </row>
    <row r="95" spans="1:19" x14ac:dyDescent="0.25">
      <c r="A95" s="2" t="s">
        <v>229</v>
      </c>
      <c r="B95" s="6">
        <v>46059</v>
      </c>
      <c r="C95" s="10" t="s">
        <v>230</v>
      </c>
      <c r="D95" s="2" t="s">
        <v>73</v>
      </c>
      <c r="E95" s="2" t="s">
        <v>73</v>
      </c>
      <c r="F95" s="2" t="s">
        <v>74</v>
      </c>
      <c r="G95" s="2" t="s">
        <v>22</v>
      </c>
      <c r="H95" s="2">
        <v>2</v>
      </c>
      <c r="I95" s="2">
        <v>3000</v>
      </c>
      <c r="J95" s="2">
        <v>0.2</v>
      </c>
      <c r="K95" s="2">
        <v>6000</v>
      </c>
      <c r="L95" s="2">
        <v>1200</v>
      </c>
      <c r="M95" s="2">
        <v>4800</v>
      </c>
      <c r="N95" s="2" t="s">
        <v>62</v>
      </c>
      <c r="O95" s="2" t="s">
        <v>47</v>
      </c>
      <c r="P95" s="2" t="s">
        <v>25</v>
      </c>
      <c r="Q95" s="2" t="s">
        <v>48</v>
      </c>
      <c r="R95" s="2" t="str">
        <f t="shared" si="4"/>
        <v>Low</v>
      </c>
      <c r="S95" s="2" t="str">
        <f t="shared" si="5"/>
        <v>Low</v>
      </c>
    </row>
    <row r="96" spans="1:19" x14ac:dyDescent="0.25">
      <c r="A96" s="2" t="s">
        <v>156</v>
      </c>
      <c r="B96" s="6">
        <v>46205</v>
      </c>
      <c r="C96" s="10" t="s">
        <v>157</v>
      </c>
      <c r="D96" s="2" t="s">
        <v>88</v>
      </c>
      <c r="E96" s="2" t="s">
        <v>89</v>
      </c>
      <c r="F96" s="2" t="s">
        <v>110</v>
      </c>
      <c r="G96" s="2" t="s">
        <v>52</v>
      </c>
      <c r="H96" s="2">
        <v>2</v>
      </c>
      <c r="I96" s="2">
        <v>530</v>
      </c>
      <c r="J96" s="2">
        <v>0</v>
      </c>
      <c r="K96" s="2">
        <v>1060</v>
      </c>
      <c r="L96" s="2">
        <v>0</v>
      </c>
      <c r="M96" s="2">
        <v>1060</v>
      </c>
      <c r="N96" s="2" t="s">
        <v>62</v>
      </c>
      <c r="O96" s="2" t="s">
        <v>41</v>
      </c>
      <c r="P96" s="2" t="s">
        <v>25</v>
      </c>
      <c r="Q96" s="2" t="s">
        <v>26</v>
      </c>
      <c r="R96" s="2" t="str">
        <f t="shared" si="4"/>
        <v>Low</v>
      </c>
      <c r="S96" s="2" t="str">
        <f t="shared" si="5"/>
        <v>Low</v>
      </c>
    </row>
    <row r="97" spans="1:19" x14ac:dyDescent="0.25">
      <c r="A97" s="2" t="s">
        <v>182</v>
      </c>
      <c r="B97" s="6">
        <v>46147</v>
      </c>
      <c r="C97" s="10" t="s">
        <v>157</v>
      </c>
      <c r="D97" s="2" t="s">
        <v>38</v>
      </c>
      <c r="E97" s="2" t="s">
        <v>20</v>
      </c>
      <c r="F97" s="2" t="s">
        <v>21</v>
      </c>
      <c r="G97" s="2" t="s">
        <v>22</v>
      </c>
      <c r="H97" s="2">
        <v>4</v>
      </c>
      <c r="I97" s="2">
        <v>58860</v>
      </c>
      <c r="J97" s="2">
        <v>0.05</v>
      </c>
      <c r="K97" s="2">
        <v>235440</v>
      </c>
      <c r="L97" s="2">
        <v>11772</v>
      </c>
      <c r="M97" s="2">
        <v>223668</v>
      </c>
      <c r="N97" s="2" t="s">
        <v>62</v>
      </c>
      <c r="O97" s="2" t="s">
        <v>41</v>
      </c>
      <c r="P97" s="2" t="s">
        <v>25</v>
      </c>
      <c r="Q97" s="2" t="s">
        <v>42</v>
      </c>
      <c r="R97" s="2" t="str">
        <f t="shared" si="4"/>
        <v>High</v>
      </c>
      <c r="S97" s="2" t="str">
        <f t="shared" si="5"/>
        <v>High</v>
      </c>
    </row>
    <row r="98" spans="1:19" x14ac:dyDescent="0.25">
      <c r="A98" s="2" t="s">
        <v>223</v>
      </c>
      <c r="B98" s="6">
        <v>46042</v>
      </c>
      <c r="C98" s="10" t="s">
        <v>157</v>
      </c>
      <c r="D98" s="2" t="s">
        <v>106</v>
      </c>
      <c r="E98" s="2" t="s">
        <v>107</v>
      </c>
      <c r="F98" s="2" t="s">
        <v>21</v>
      </c>
      <c r="G98" s="2" t="s">
        <v>22</v>
      </c>
      <c r="H98" s="2">
        <v>2</v>
      </c>
      <c r="I98" s="2">
        <v>54010</v>
      </c>
      <c r="J98" s="2">
        <v>0.05</v>
      </c>
      <c r="K98" s="2">
        <v>108020</v>
      </c>
      <c r="L98" s="2">
        <v>5401</v>
      </c>
      <c r="M98" s="2">
        <v>102619</v>
      </c>
      <c r="N98" s="2" t="s">
        <v>23</v>
      </c>
      <c r="O98" s="2" t="s">
        <v>24</v>
      </c>
      <c r="P98" s="2" t="s">
        <v>25</v>
      </c>
      <c r="Q98" s="2" t="s">
        <v>26</v>
      </c>
      <c r="R98" s="2" t="str">
        <f t="shared" si="4"/>
        <v>High</v>
      </c>
      <c r="S98" s="2" t="str">
        <f t="shared" si="5"/>
        <v>High</v>
      </c>
    </row>
    <row r="99" spans="1:19" x14ac:dyDescent="0.25">
      <c r="A99" s="2" t="s">
        <v>167</v>
      </c>
      <c r="B99" s="6">
        <v>46217</v>
      </c>
      <c r="C99" s="10" t="s">
        <v>168</v>
      </c>
      <c r="D99" s="2" t="s">
        <v>73</v>
      </c>
      <c r="E99" s="2" t="s">
        <v>73</v>
      </c>
      <c r="F99" s="2" t="s">
        <v>101</v>
      </c>
      <c r="G99" s="2" t="s">
        <v>58</v>
      </c>
      <c r="H99" s="2">
        <v>2</v>
      </c>
      <c r="I99" s="2">
        <v>1780</v>
      </c>
      <c r="J99" s="2">
        <v>0.1</v>
      </c>
      <c r="K99" s="2">
        <v>3560</v>
      </c>
      <c r="L99" s="2">
        <v>356</v>
      </c>
      <c r="M99" s="2">
        <v>3204</v>
      </c>
      <c r="N99" s="2" t="s">
        <v>62</v>
      </c>
      <c r="O99" s="2" t="s">
        <v>47</v>
      </c>
      <c r="P99" s="2" t="s">
        <v>155</v>
      </c>
      <c r="Q99" s="2" t="s">
        <v>48</v>
      </c>
      <c r="R99" s="2" t="str">
        <f t="shared" si="4"/>
        <v>Low</v>
      </c>
      <c r="S99" s="2" t="str">
        <f t="shared" si="5"/>
        <v>Low</v>
      </c>
    </row>
    <row r="100" spans="1:19" x14ac:dyDescent="0.25">
      <c r="A100" s="2" t="s">
        <v>189</v>
      </c>
      <c r="B100" s="6">
        <v>46204</v>
      </c>
      <c r="C100" s="10" t="s">
        <v>190</v>
      </c>
      <c r="D100" s="2" t="s">
        <v>35</v>
      </c>
      <c r="E100" s="2" t="s">
        <v>20</v>
      </c>
      <c r="F100" s="2" t="s">
        <v>94</v>
      </c>
      <c r="G100" s="2" t="s">
        <v>22</v>
      </c>
      <c r="H100" s="2">
        <v>3</v>
      </c>
      <c r="I100" s="2">
        <v>11230</v>
      </c>
      <c r="J100" s="2">
        <v>0</v>
      </c>
      <c r="K100" s="2">
        <v>33690</v>
      </c>
      <c r="L100" s="2">
        <v>0</v>
      </c>
      <c r="M100" s="2">
        <v>33690</v>
      </c>
      <c r="N100" s="2" t="s">
        <v>31</v>
      </c>
      <c r="O100" s="2" t="s">
        <v>41</v>
      </c>
      <c r="P100" s="2" t="s">
        <v>25</v>
      </c>
      <c r="Q100" s="2" t="s">
        <v>42</v>
      </c>
      <c r="R100" s="2" t="str">
        <f t="shared" si="4"/>
        <v>Low</v>
      </c>
      <c r="S100" s="2" t="str">
        <f t="shared" si="5"/>
        <v>Medium</v>
      </c>
    </row>
    <row r="101" spans="1:19" x14ac:dyDescent="0.25">
      <c r="A101" s="2" t="s">
        <v>203</v>
      </c>
      <c r="B101" s="6">
        <v>46202</v>
      </c>
      <c r="C101" s="10" t="s">
        <v>204</v>
      </c>
      <c r="D101" s="2" t="s">
        <v>35</v>
      </c>
      <c r="E101" s="2" t="s">
        <v>20</v>
      </c>
      <c r="F101" s="2" t="s">
        <v>51</v>
      </c>
      <c r="G101" s="2" t="s">
        <v>52</v>
      </c>
      <c r="H101" s="2">
        <v>1</v>
      </c>
      <c r="I101" s="2">
        <v>250</v>
      </c>
      <c r="J101" s="2">
        <v>0.1</v>
      </c>
      <c r="K101" s="2">
        <v>250</v>
      </c>
      <c r="L101" s="2">
        <v>25</v>
      </c>
      <c r="M101" s="2">
        <v>225</v>
      </c>
      <c r="N101" s="2" t="s">
        <v>23</v>
      </c>
      <c r="O101" s="2" t="s">
        <v>24</v>
      </c>
      <c r="P101" s="2" t="s">
        <v>25</v>
      </c>
      <c r="Q101" s="2" t="s">
        <v>48</v>
      </c>
      <c r="R101" s="2" t="str">
        <f t="shared" si="4"/>
        <v>Low</v>
      </c>
      <c r="S101" s="2" t="str">
        <f t="shared" si="5"/>
        <v>Low</v>
      </c>
    </row>
    <row r="102" spans="1:19" x14ac:dyDescent="0.25">
      <c r="B102" s="6"/>
    </row>
    <row r="103" spans="1:19" x14ac:dyDescent="0.25">
      <c r="A103" s="3" t="s">
        <v>258</v>
      </c>
      <c r="B103" s="3"/>
      <c r="C103" s="11" t="str">
        <f>C2&amp;":"&amp;D2&amp;"-"&amp;E2</f>
        <v>Aarav Agarwal:Delhi-Delhi</v>
      </c>
      <c r="D103" s="3"/>
      <c r="E103" s="3"/>
      <c r="F103" s="3"/>
      <c r="G103" s="3"/>
      <c r="H103" s="3">
        <f>SUM([1]Sales_Data!H2:H101)</f>
        <v>276</v>
      </c>
      <c r="I103" s="3"/>
      <c r="J103" s="3"/>
      <c r="K103" s="3" t="s">
        <v>247</v>
      </c>
      <c r="L103" s="3"/>
      <c r="M103" s="3" t="s">
        <v>247</v>
      </c>
      <c r="N103" s="3" t="s">
        <v>253</v>
      </c>
      <c r="O103" s="3"/>
      <c r="P103" s="3" t="s">
        <v>251</v>
      </c>
      <c r="Q103" s="3"/>
      <c r="R103" s="3"/>
    </row>
    <row r="104" spans="1:19" ht="30" x14ac:dyDescent="0.25">
      <c r="A104" s="3">
        <f>COUNTA(A2:A101)</f>
        <v>100</v>
      </c>
      <c r="B104" s="3"/>
      <c r="C104" s="11" t="str">
        <f t="shared" ref="C104:C119" si="6">C3&amp;":"&amp;D3</f>
        <v>Aarav Patel:Noida</v>
      </c>
      <c r="D104" s="3"/>
      <c r="E104" s="4" t="s">
        <v>260</v>
      </c>
      <c r="F104" s="3"/>
      <c r="G104" s="3"/>
      <c r="H104" s="3"/>
      <c r="I104" s="3"/>
      <c r="J104" s="3"/>
      <c r="K104" s="3">
        <f>SUM([1]Sales_Data!K2:K101)</f>
        <v>2955590</v>
      </c>
      <c r="L104" s="3"/>
      <c r="M104" s="3">
        <f>SUM([1]Sales_Data!M2:M101)</f>
        <v>2764145</v>
      </c>
      <c r="N104" s="3">
        <f>COUNTIF(N2:N101,"marketplace")</f>
        <v>32</v>
      </c>
      <c r="O104" s="3"/>
      <c r="P104" s="3">
        <f>COUNTIF(P2:P101,"returned")</f>
        <v>4</v>
      </c>
      <c r="Q104" s="3"/>
      <c r="R104" s="3"/>
    </row>
    <row r="105" spans="1:19" x14ac:dyDescent="0.25">
      <c r="A105" s="3"/>
      <c r="B105" s="3"/>
      <c r="C105" s="11" t="str">
        <f t="shared" si="6"/>
        <v>Aditya Agarwal:Lucknow</v>
      </c>
      <c r="D105" s="3"/>
      <c r="E105" s="4">
        <f>COUNTIFS(Sales_Data!E2:E101,"uttar pradesh",Sales_Data!G2:G101,"accessories")</f>
        <v>15</v>
      </c>
      <c r="F105" s="3"/>
      <c r="G105" s="3"/>
      <c r="H105" s="3"/>
      <c r="I105" s="3"/>
      <c r="J105" s="3"/>
      <c r="K105" s="3"/>
      <c r="L105" s="3"/>
      <c r="M105" s="3" t="s">
        <v>248</v>
      </c>
      <c r="N105" s="3" t="s">
        <v>254</v>
      </c>
      <c r="O105" s="3"/>
      <c r="P105" s="3" t="s">
        <v>250</v>
      </c>
      <c r="Q105" s="3"/>
      <c r="R105" s="3"/>
    </row>
    <row r="106" spans="1:19" ht="30" x14ac:dyDescent="0.25">
      <c r="A106" s="3"/>
      <c r="B106" s="3"/>
      <c r="C106" s="11" t="str">
        <f t="shared" si="6"/>
        <v>Aditya Gupta:Kanpur</v>
      </c>
      <c r="D106" s="3"/>
      <c r="E106" s="4" t="s">
        <v>261</v>
      </c>
      <c r="F106" s="3"/>
      <c r="G106" s="3"/>
      <c r="H106" s="3"/>
      <c r="I106" s="3"/>
      <c r="J106" s="3"/>
      <c r="K106" s="3"/>
      <c r="L106" s="3"/>
      <c r="M106" s="3">
        <f>AVERAGE([1]Sales_Data!M2:M101)</f>
        <v>27641.45</v>
      </c>
      <c r="N106" s="3">
        <f>COUNTIF(N2:N101,"mobile app")</f>
        <v>34</v>
      </c>
      <c r="O106" s="3"/>
      <c r="P106" s="3">
        <f>COUNTIF(P2:P101,"cancelled")</f>
        <v>6</v>
      </c>
      <c r="Q106" s="3"/>
      <c r="R106" s="3"/>
    </row>
    <row r="107" spans="1:19" x14ac:dyDescent="0.25">
      <c r="A107" s="3"/>
      <c r="B107" s="3"/>
      <c r="C107" s="11" t="str">
        <f t="shared" si="6"/>
        <v>Aditya Mishra:Noida</v>
      </c>
      <c r="D107" s="3"/>
      <c r="E107" s="4">
        <f>COUNTIFS(Sales_Data!E2:E101,"uttar pradesh",Sales_Data!G2:G101,"Electronics")</f>
        <v>25</v>
      </c>
      <c r="F107" s="3"/>
      <c r="G107" s="3"/>
      <c r="H107" s="3"/>
      <c r="I107" s="3"/>
      <c r="J107" s="3"/>
      <c r="K107" s="3"/>
      <c r="L107" s="3"/>
      <c r="M107" s="3" t="s">
        <v>256</v>
      </c>
      <c r="N107" s="3" t="s">
        <v>255</v>
      </c>
      <c r="O107" s="3"/>
      <c r="P107" s="3" t="s">
        <v>249</v>
      </c>
      <c r="Q107" s="3"/>
      <c r="R107" s="3"/>
    </row>
    <row r="108" spans="1:19" ht="30" x14ac:dyDescent="0.25">
      <c r="A108" s="3"/>
      <c r="B108" s="3"/>
      <c r="C108" s="11" t="str">
        <f t="shared" si="6"/>
        <v>Aditya Sharma:Prayagraj</v>
      </c>
      <c r="D108" s="3"/>
      <c r="E108" s="4" t="s">
        <v>262</v>
      </c>
      <c r="F108" s="3"/>
      <c r="G108" s="3"/>
      <c r="H108" s="3"/>
      <c r="I108" s="3"/>
      <c r="J108" s="3"/>
      <c r="K108" s="3"/>
      <c r="L108" s="3"/>
      <c r="M108" s="3">
        <f>MAX(Sales_Data[Net_Sales])</f>
        <v>299650</v>
      </c>
      <c r="N108" s="3">
        <f>COUNTIF(N2:N101,"website")</f>
        <v>34</v>
      </c>
      <c r="O108" s="3"/>
      <c r="P108" s="3">
        <f>COUNTIF(P2:P101,"delivered")</f>
        <v>87</v>
      </c>
      <c r="Q108" s="3"/>
      <c r="R108" s="3"/>
    </row>
    <row r="109" spans="1:19" x14ac:dyDescent="0.25">
      <c r="A109" s="3"/>
      <c r="B109" s="3"/>
      <c r="C109" s="11" t="str">
        <f t="shared" si="6"/>
        <v>Aditya Singh:Jaipur</v>
      </c>
      <c r="D109" s="3"/>
      <c r="E109" s="4">
        <f>COUNTIFS(Sales_Data!E3:E102,"Bihar",Sales_Data!G3:G102,"Electronics")</f>
        <v>8</v>
      </c>
      <c r="F109" s="3"/>
      <c r="G109" s="3"/>
      <c r="H109" s="3"/>
      <c r="I109" s="3"/>
      <c r="J109" s="3"/>
      <c r="K109" s="3"/>
      <c r="L109" s="3"/>
      <c r="M109" s="3" t="s">
        <v>257</v>
      </c>
      <c r="N109" s="3"/>
      <c r="O109" s="3"/>
      <c r="P109" s="3" t="s">
        <v>252</v>
      </c>
      <c r="Q109" s="3"/>
      <c r="R109" s="3"/>
    </row>
    <row r="110" spans="1:19" x14ac:dyDescent="0.25">
      <c r="A110" s="3"/>
      <c r="B110" s="3"/>
      <c r="C110" s="11" t="str">
        <f t="shared" si="6"/>
        <v>Aditya Singh:Lucknow</v>
      </c>
      <c r="D110" s="3"/>
      <c r="E110" s="3"/>
      <c r="F110" s="3"/>
      <c r="G110" s="3"/>
      <c r="H110" s="3"/>
      <c r="I110" s="3"/>
      <c r="J110" s="3"/>
      <c r="K110" s="3"/>
      <c r="L110" s="3" t="s">
        <v>52</v>
      </c>
      <c r="M110" s="3">
        <f>MIN(M2:M101)</f>
        <v>180</v>
      </c>
      <c r="N110" s="3"/>
      <c r="O110" s="3"/>
      <c r="P110" s="3">
        <f>COUNTIF(P2:P101,"shipped")</f>
        <v>3</v>
      </c>
      <c r="Q110" s="3"/>
      <c r="R110" s="3"/>
    </row>
    <row r="111" spans="1:19" ht="45" x14ac:dyDescent="0.25">
      <c r="A111" s="3"/>
      <c r="B111" s="3"/>
      <c r="C111" s="11" t="str">
        <f t="shared" si="6"/>
        <v>Aditya Verma:Kanpur</v>
      </c>
      <c r="D111" s="3"/>
      <c r="E111" s="3"/>
      <c r="F111" s="3"/>
      <c r="G111" s="3"/>
      <c r="H111" s="3"/>
      <c r="I111" s="3"/>
      <c r="J111" s="3"/>
      <c r="K111" s="3"/>
      <c r="L111" s="3">
        <f>SUMIF(Sales_Data!G2:G101,"Stationery",Sales_Data!M2:M101)</f>
        <v>7978.5</v>
      </c>
      <c r="M111" s="4" t="s">
        <v>264</v>
      </c>
      <c r="N111" s="3"/>
      <c r="O111" s="3"/>
      <c r="P111" s="4" t="s">
        <v>259</v>
      </c>
      <c r="Q111" s="7"/>
      <c r="R111" s="3"/>
    </row>
    <row r="112" spans="1:19" x14ac:dyDescent="0.25">
      <c r="A112" s="3"/>
      <c r="B112" s="3"/>
      <c r="C112" s="11" t="str">
        <f t="shared" si="6"/>
        <v>Aditya Yadav:Bhopal</v>
      </c>
      <c r="D112" s="3"/>
      <c r="E112" s="3"/>
      <c r="F112" s="3"/>
      <c r="G112" s="3"/>
      <c r="H112" s="3"/>
      <c r="I112" s="3"/>
      <c r="J112" s="3"/>
      <c r="K112" s="3"/>
      <c r="L112" s="3" t="s">
        <v>22</v>
      </c>
      <c r="M112" s="4">
        <f>COUNTIFS(Sales_Data!M11:M110,"&gt;=10000",Sales_Data!M11:M110,"&lt;=40000")</f>
        <v>22</v>
      </c>
      <c r="N112" s="3"/>
      <c r="O112" s="3"/>
      <c r="P112" s="4">
        <f>COUNTIFS(Sales_Data!P2:P101,"Delivered",Sales_Data!N2:N101,"Website")</f>
        <v>31</v>
      </c>
      <c r="Q112" s="7"/>
      <c r="R112" s="3"/>
    </row>
    <row r="113" spans="1:18" ht="30" x14ac:dyDescent="0.25">
      <c r="A113" s="3"/>
      <c r="B113" s="3"/>
      <c r="C113" s="11" t="str">
        <f t="shared" si="6"/>
        <v>Amit Tiwari:Bhopal</v>
      </c>
      <c r="D113" s="3"/>
      <c r="E113" s="3"/>
      <c r="F113" s="3"/>
      <c r="G113" s="3"/>
      <c r="H113" s="3"/>
      <c r="I113" s="3"/>
      <c r="J113" s="3"/>
      <c r="K113" s="3"/>
      <c r="L113" s="3">
        <f>SUMIF(Sales_Data!G4:G103,"Electronics",Sales_Data!M4:M103)</f>
        <v>2413485</v>
      </c>
      <c r="M113" s="4" t="s">
        <v>263</v>
      </c>
      <c r="N113" s="3"/>
      <c r="O113" s="3"/>
      <c r="P113" s="3"/>
      <c r="Q113" s="7"/>
      <c r="R113" s="3"/>
    </row>
    <row r="114" spans="1:18" x14ac:dyDescent="0.25">
      <c r="A114" s="3"/>
      <c r="B114" s="3"/>
      <c r="C114" s="11" t="str">
        <f t="shared" si="6"/>
        <v>Amit Yadav:Agra</v>
      </c>
      <c r="D114" s="3"/>
      <c r="E114" s="3"/>
      <c r="F114" s="3"/>
      <c r="G114" s="3"/>
      <c r="H114" s="3"/>
      <c r="I114" s="3"/>
      <c r="J114" s="3"/>
      <c r="K114" s="3"/>
      <c r="L114" s="3" t="s">
        <v>267</v>
      </c>
      <c r="M114" s="4">
        <f>COUNTIF(Sales_Data!M2:M101,"&gt;=10000")</f>
        <v>39</v>
      </c>
      <c r="N114" s="3"/>
      <c r="O114" s="3"/>
      <c r="P114" s="3"/>
      <c r="Q114" s="7"/>
      <c r="R114" s="3"/>
    </row>
    <row r="115" spans="1:18" x14ac:dyDescent="0.25">
      <c r="A115" s="3"/>
      <c r="B115" s="3"/>
      <c r="C115" s="11" t="str">
        <f t="shared" si="6"/>
        <v>Amit Yadav:Delhi</v>
      </c>
      <c r="D115" s="3"/>
      <c r="E115" s="3"/>
      <c r="F115" s="3"/>
      <c r="G115" s="3"/>
      <c r="H115" s="3"/>
      <c r="I115" s="3"/>
      <c r="J115" s="3"/>
      <c r="K115" s="3"/>
      <c r="L115" s="3">
        <f>SUMIF(Sales_Data!G6:G105,"Accessories",Sales_Data!M6:M105)</f>
        <v>67909.5</v>
      </c>
      <c r="M115" s="3" t="s">
        <v>266</v>
      </c>
      <c r="N115" s="3"/>
      <c r="O115" s="3"/>
      <c r="P115" s="3"/>
      <c r="Q115" s="3"/>
      <c r="R115" s="3"/>
    </row>
    <row r="116" spans="1:18" x14ac:dyDescent="0.25">
      <c r="A116" s="3"/>
      <c r="B116" s="3"/>
      <c r="C116" s="11" t="str">
        <f t="shared" si="6"/>
        <v>Amit Yadav:Patna</v>
      </c>
      <c r="D116" s="3"/>
      <c r="E116" s="3"/>
      <c r="F116" s="3"/>
      <c r="G116" s="3"/>
      <c r="H116" s="3"/>
      <c r="I116" s="3"/>
      <c r="J116" s="3"/>
      <c r="K116" s="3"/>
      <c r="L116" s="3"/>
      <c r="M116" s="4">
        <f>COUNTIFS(Sales_Data!M2:M101,"&gt;=10000",Sales_Data!M2:M101,"&lt;=50000")</f>
        <v>27</v>
      </c>
      <c r="N116" s="3"/>
      <c r="O116" s="3"/>
      <c r="P116" s="3"/>
      <c r="Q116" s="3"/>
      <c r="R116" s="3"/>
    </row>
    <row r="117" spans="1:18" x14ac:dyDescent="0.25">
      <c r="A117" s="3"/>
      <c r="B117" s="3"/>
      <c r="C117" s="11" t="str">
        <f t="shared" si="6"/>
        <v>Ananya Agarwal:Agra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x14ac:dyDescent="0.25">
      <c r="A118" s="3"/>
      <c r="B118" s="3"/>
      <c r="C118" s="11" t="str">
        <f t="shared" si="6"/>
        <v>Ananya Tiwari:Jaipur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25">
      <c r="A119" s="3"/>
      <c r="B119" s="3"/>
      <c r="C119" s="11" t="str">
        <f t="shared" si="6"/>
        <v>Ananya Verma:Lucknow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</sheetData>
  <conditionalFormatting sqref="M2:M101">
    <cfRule type="colorScale" priority="1">
      <colorScale>
        <cfvo type="num" val="10000"/>
        <cfvo type="num" val="25000"/>
        <cfvo type="num" val="50000"/>
        <color rgb="FFB94441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F828-D2A8-470E-BE33-3B6EBCDCA042}">
  <dimension ref="A1:B216"/>
  <sheetViews>
    <sheetView tabSelected="1" zoomScaleNormal="100" workbookViewId="0">
      <selection activeCell="O34" sqref="O34"/>
    </sheetView>
  </sheetViews>
  <sheetFormatPr defaultRowHeight="15" x14ac:dyDescent="0.25"/>
  <cols>
    <col min="1" max="1" width="14.5703125" bestFit="1" customWidth="1"/>
    <col min="2" max="2" width="18.28515625" style="1" bestFit="1" customWidth="1"/>
    <col min="3" max="3" width="18.28515625" bestFit="1" customWidth="1"/>
    <col min="4" max="4" width="14.42578125" bestFit="1" customWidth="1"/>
    <col min="5" max="5" width="12.5703125" bestFit="1" customWidth="1"/>
    <col min="6" max="6" width="13.42578125" bestFit="1" customWidth="1"/>
    <col min="7" max="7" width="13.85546875" bestFit="1" customWidth="1"/>
    <col min="8" max="8" width="12" bestFit="1" customWidth="1"/>
    <col min="9" max="10" width="16.5703125" bestFit="1" customWidth="1"/>
    <col min="11" max="11" width="13.140625" bestFit="1" customWidth="1"/>
    <col min="12" max="12" width="16.5703125" bestFit="1" customWidth="1"/>
    <col min="13" max="13" width="15.28515625" bestFit="1" customWidth="1"/>
    <col min="14" max="14" width="13.5703125" bestFit="1" customWidth="1"/>
    <col min="15" max="15" width="14" bestFit="1" customWidth="1"/>
    <col min="16" max="16" width="13.5703125" bestFit="1" customWidth="1"/>
    <col min="17" max="17" width="11.7109375" bestFit="1" customWidth="1"/>
    <col min="18" max="18" width="12.42578125" bestFit="1" customWidth="1"/>
    <col min="19" max="19" width="12.85546875" bestFit="1" customWidth="1"/>
    <col min="20" max="20" width="11.7109375" bestFit="1" customWidth="1"/>
    <col min="21" max="21" width="11.5703125" bestFit="1" customWidth="1"/>
    <col min="22" max="22" width="12.42578125" bestFit="1" customWidth="1"/>
    <col min="23" max="23" width="10.85546875" bestFit="1" customWidth="1"/>
    <col min="24" max="24" width="12.140625" bestFit="1" customWidth="1"/>
    <col min="25" max="25" width="11.5703125" bestFit="1" customWidth="1"/>
    <col min="26" max="26" width="11.85546875" bestFit="1" customWidth="1"/>
    <col min="27" max="27" width="11.28515625" bestFit="1" customWidth="1"/>
    <col min="28" max="28" width="11.85546875" bestFit="1" customWidth="1"/>
    <col min="29" max="29" width="13.85546875" bestFit="1" customWidth="1"/>
    <col min="30" max="30" width="12" bestFit="1" customWidth="1"/>
    <col min="31" max="31" width="12.28515625" bestFit="1" customWidth="1"/>
    <col min="32" max="32" width="12.7109375" bestFit="1" customWidth="1"/>
    <col min="33" max="33" width="11.140625" bestFit="1" customWidth="1"/>
    <col min="34" max="34" width="13.28515625" bestFit="1" customWidth="1"/>
    <col min="35" max="35" width="11.42578125" bestFit="1" customWidth="1"/>
    <col min="36" max="36" width="11.85546875" bestFit="1" customWidth="1"/>
    <col min="37" max="37" width="14.140625" bestFit="1" customWidth="1"/>
    <col min="38" max="38" width="12.28515625" bestFit="1" customWidth="1"/>
    <col min="39" max="39" width="13.5703125" bestFit="1" customWidth="1"/>
    <col min="40" max="40" width="12.140625" bestFit="1" customWidth="1"/>
    <col min="41" max="41" width="12.28515625" bestFit="1" customWidth="1"/>
    <col min="42" max="42" width="10.7109375" bestFit="1" customWidth="1"/>
    <col min="43" max="43" width="11" bestFit="1" customWidth="1"/>
    <col min="44" max="44" width="12.140625" bestFit="1" customWidth="1"/>
    <col min="45" max="45" width="11.85546875" bestFit="1" customWidth="1"/>
    <col min="46" max="46" width="11.7109375" bestFit="1" customWidth="1"/>
    <col min="47" max="47" width="13.7109375" bestFit="1" customWidth="1"/>
    <col min="48" max="48" width="13.140625" bestFit="1" customWidth="1"/>
    <col min="49" max="49" width="12.28515625" bestFit="1" customWidth="1"/>
    <col min="50" max="50" width="11.7109375" bestFit="1" customWidth="1"/>
    <col min="51" max="51" width="11.28515625" bestFit="1" customWidth="1"/>
    <col min="52" max="52" width="11.5703125" bestFit="1" customWidth="1"/>
    <col min="53" max="53" width="10.42578125" bestFit="1" customWidth="1"/>
    <col min="54" max="54" width="11.28515625" bestFit="1" customWidth="1"/>
    <col min="55" max="55" width="12.140625" bestFit="1" customWidth="1"/>
    <col min="56" max="56" width="10.85546875" bestFit="1" customWidth="1"/>
    <col min="57" max="57" width="10" bestFit="1" customWidth="1"/>
    <col min="58" max="58" width="12.42578125" bestFit="1" customWidth="1"/>
    <col min="59" max="59" width="12.7109375" bestFit="1" customWidth="1"/>
    <col min="60" max="60" width="12.85546875" bestFit="1" customWidth="1"/>
    <col min="61" max="61" width="12.28515625" bestFit="1" customWidth="1"/>
    <col min="62" max="62" width="15.85546875" bestFit="1" customWidth="1"/>
    <col min="63" max="63" width="14.85546875" bestFit="1" customWidth="1"/>
    <col min="64" max="64" width="14" bestFit="1" customWidth="1"/>
    <col min="65" max="65" width="14.85546875" bestFit="1" customWidth="1"/>
    <col min="66" max="66" width="13.140625" bestFit="1" customWidth="1"/>
    <col min="67" max="67" width="13.85546875" bestFit="1" customWidth="1"/>
    <col min="68" max="68" width="12.140625" bestFit="1" customWidth="1"/>
    <col min="69" max="69" width="14.28515625" bestFit="1" customWidth="1"/>
    <col min="70" max="70" width="12.42578125" bestFit="1" customWidth="1"/>
    <col min="71" max="71" width="13.42578125" bestFit="1" customWidth="1"/>
    <col min="72" max="72" width="11.85546875" bestFit="1" customWidth="1"/>
    <col min="73" max="73" width="12.28515625" bestFit="1" customWidth="1"/>
    <col min="74" max="74" width="10.7109375" bestFit="1" customWidth="1"/>
    <col min="75" max="75" width="12.7109375" bestFit="1" customWidth="1"/>
    <col min="76" max="76" width="11.5703125" bestFit="1" customWidth="1"/>
    <col min="77" max="77" width="11.28515625" bestFit="1" customWidth="1"/>
  </cols>
  <sheetData>
    <row r="1" spans="1:2" ht="18.75" x14ac:dyDescent="0.3">
      <c r="A1" s="27" t="s">
        <v>269</v>
      </c>
      <c r="B1" s="28" t="s">
        <v>271</v>
      </c>
    </row>
    <row r="2" spans="1:2" ht="18.75" x14ac:dyDescent="0.3">
      <c r="A2" s="29" t="s">
        <v>58</v>
      </c>
      <c r="B2" s="28">
        <v>74509.5</v>
      </c>
    </row>
    <row r="3" spans="1:2" ht="18.75" x14ac:dyDescent="0.3">
      <c r="A3" s="29" t="s">
        <v>22</v>
      </c>
      <c r="B3" s="28">
        <v>2458807</v>
      </c>
    </row>
    <row r="4" spans="1:2" ht="18.75" x14ac:dyDescent="0.3">
      <c r="A4" s="29" t="s">
        <v>40</v>
      </c>
      <c r="B4" s="28">
        <v>222850</v>
      </c>
    </row>
    <row r="5" spans="1:2" ht="18.75" x14ac:dyDescent="0.3">
      <c r="A5" s="29" t="s">
        <v>52</v>
      </c>
      <c r="B5" s="28">
        <v>7978.5</v>
      </c>
    </row>
    <row r="6" spans="1:2" ht="18.75" x14ac:dyDescent="0.3">
      <c r="A6" s="29" t="s">
        <v>270</v>
      </c>
      <c r="B6" s="28">
        <v>2764145</v>
      </c>
    </row>
    <row r="15" spans="1:2" x14ac:dyDescent="0.25">
      <c r="A15" s="12" t="s">
        <v>269</v>
      </c>
      <c r="B15" t="s">
        <v>272</v>
      </c>
    </row>
    <row r="16" spans="1:2" x14ac:dyDescent="0.25">
      <c r="A16" s="13" t="s">
        <v>35</v>
      </c>
      <c r="B16">
        <v>15</v>
      </c>
    </row>
    <row r="17" spans="1:2" x14ac:dyDescent="0.25">
      <c r="A17" s="13" t="s">
        <v>45</v>
      </c>
      <c r="B17">
        <v>8</v>
      </c>
    </row>
    <row r="18" spans="1:2" x14ac:dyDescent="0.25">
      <c r="A18" s="13" t="s">
        <v>73</v>
      </c>
      <c r="B18">
        <v>12</v>
      </c>
    </row>
    <row r="19" spans="1:2" x14ac:dyDescent="0.25">
      <c r="A19" s="13" t="s">
        <v>106</v>
      </c>
      <c r="B19">
        <v>10</v>
      </c>
    </row>
    <row r="20" spans="1:2" x14ac:dyDescent="0.25">
      <c r="A20" s="13" t="s">
        <v>56</v>
      </c>
      <c r="B20">
        <v>7</v>
      </c>
    </row>
    <row r="21" spans="1:2" x14ac:dyDescent="0.25">
      <c r="A21" s="13" t="s">
        <v>19</v>
      </c>
      <c r="B21">
        <v>10</v>
      </c>
    </row>
    <row r="22" spans="1:2" x14ac:dyDescent="0.25">
      <c r="A22" s="13" t="s">
        <v>38</v>
      </c>
      <c r="B22">
        <v>12</v>
      </c>
    </row>
    <row r="23" spans="1:2" x14ac:dyDescent="0.25">
      <c r="A23" s="13" t="s">
        <v>88</v>
      </c>
      <c r="B23">
        <v>11</v>
      </c>
    </row>
    <row r="24" spans="1:2" x14ac:dyDescent="0.25">
      <c r="A24" s="13" t="s">
        <v>29</v>
      </c>
      <c r="B24">
        <v>9</v>
      </c>
    </row>
    <row r="25" spans="1:2" x14ac:dyDescent="0.25">
      <c r="A25" s="13" t="s">
        <v>69</v>
      </c>
      <c r="B25">
        <v>6</v>
      </c>
    </row>
    <row r="26" spans="1:2" x14ac:dyDescent="0.25">
      <c r="A26" s="13" t="s">
        <v>270</v>
      </c>
      <c r="B26">
        <v>100</v>
      </c>
    </row>
    <row r="33" spans="1:2" ht="15.75" x14ac:dyDescent="0.25">
      <c r="A33" s="14" t="s">
        <v>269</v>
      </c>
      <c r="B33" s="15" t="s">
        <v>271</v>
      </c>
    </row>
    <row r="34" spans="1:2" ht="15.75" x14ac:dyDescent="0.25">
      <c r="A34" s="16" t="s">
        <v>161</v>
      </c>
      <c r="B34" s="15">
        <v>45322</v>
      </c>
    </row>
    <row r="35" spans="1:2" ht="15.75" x14ac:dyDescent="0.25">
      <c r="A35" s="16" t="s">
        <v>34</v>
      </c>
      <c r="B35" s="15">
        <v>136988</v>
      </c>
    </row>
    <row r="36" spans="1:2" ht="15.75" x14ac:dyDescent="0.25">
      <c r="A36" s="16" t="s">
        <v>103</v>
      </c>
      <c r="B36" s="15">
        <v>3827</v>
      </c>
    </row>
    <row r="37" spans="1:2" ht="15.75" x14ac:dyDescent="0.25">
      <c r="A37" s="16" t="s">
        <v>151</v>
      </c>
      <c r="B37" s="15">
        <v>118750</v>
      </c>
    </row>
    <row r="38" spans="1:2" ht="15.75" x14ac:dyDescent="0.25">
      <c r="A38" s="16" t="s">
        <v>148</v>
      </c>
      <c r="B38" s="15">
        <v>32210</v>
      </c>
    </row>
    <row r="39" spans="1:2" ht="15.75" x14ac:dyDescent="0.25">
      <c r="A39" s="16" t="s">
        <v>132</v>
      </c>
      <c r="B39" s="15">
        <v>10782</v>
      </c>
    </row>
    <row r="40" spans="1:2" ht="15.75" x14ac:dyDescent="0.25">
      <c r="A40" s="16" t="s">
        <v>217</v>
      </c>
      <c r="B40" s="15">
        <v>3655</v>
      </c>
    </row>
    <row r="41" spans="1:2" ht="15.75" x14ac:dyDescent="0.25">
      <c r="A41" s="16" t="s">
        <v>154</v>
      </c>
      <c r="B41" s="15">
        <v>11840</v>
      </c>
    </row>
    <row r="42" spans="1:2" ht="15.75" x14ac:dyDescent="0.25">
      <c r="A42" s="16" t="s">
        <v>174</v>
      </c>
      <c r="B42" s="15">
        <v>94237.5</v>
      </c>
    </row>
    <row r="43" spans="1:2" ht="15.75" x14ac:dyDescent="0.25">
      <c r="A43" s="16" t="s">
        <v>242</v>
      </c>
      <c r="B43" s="15">
        <v>26902.5</v>
      </c>
    </row>
    <row r="44" spans="1:2" ht="15.75" x14ac:dyDescent="0.25">
      <c r="A44" s="16" t="s">
        <v>135</v>
      </c>
      <c r="B44" s="15">
        <v>5895</v>
      </c>
    </row>
    <row r="45" spans="1:2" ht="15.75" x14ac:dyDescent="0.25">
      <c r="A45" s="16" t="s">
        <v>201</v>
      </c>
      <c r="B45" s="15">
        <v>2116.5</v>
      </c>
    </row>
    <row r="46" spans="1:2" ht="15.75" x14ac:dyDescent="0.25">
      <c r="A46" s="16" t="s">
        <v>204</v>
      </c>
      <c r="B46" s="15">
        <v>225</v>
      </c>
    </row>
    <row r="47" spans="1:2" ht="15.75" x14ac:dyDescent="0.25">
      <c r="A47" s="16" t="s">
        <v>270</v>
      </c>
      <c r="B47" s="15">
        <v>492750.5</v>
      </c>
    </row>
    <row r="48" spans="1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EEEA-29EF-4455-84A8-F43EC69A749D}">
  <dimension ref="A1:B23"/>
  <sheetViews>
    <sheetView workbookViewId="0">
      <selection activeCell="N21" sqref="N21"/>
    </sheetView>
  </sheetViews>
  <sheetFormatPr defaultRowHeight="15" x14ac:dyDescent="0.25"/>
  <cols>
    <col min="1" max="1" width="20.7109375" customWidth="1"/>
    <col min="2" max="2" width="18.28515625" customWidth="1"/>
  </cols>
  <sheetData>
    <row r="1" spans="1:2" ht="15.75" x14ac:dyDescent="0.25">
      <c r="A1" s="24" t="s">
        <v>269</v>
      </c>
      <c r="B1" s="25" t="s">
        <v>271</v>
      </c>
    </row>
    <row r="2" spans="1:2" ht="18.75" x14ac:dyDescent="0.3">
      <c r="A2" s="30" t="s">
        <v>273</v>
      </c>
      <c r="B2" s="31">
        <v>525982.5</v>
      </c>
    </row>
    <row r="3" spans="1:2" ht="18.75" x14ac:dyDescent="0.3">
      <c r="A3" s="30" t="s">
        <v>274</v>
      </c>
      <c r="B3" s="31">
        <v>203187</v>
      </c>
    </row>
    <row r="4" spans="1:2" ht="18.75" x14ac:dyDescent="0.3">
      <c r="A4" s="30" t="s">
        <v>275</v>
      </c>
      <c r="B4" s="31">
        <v>569955</v>
      </c>
    </row>
    <row r="5" spans="1:2" ht="18.75" x14ac:dyDescent="0.3">
      <c r="A5" s="30" t="s">
        <v>276</v>
      </c>
      <c r="B5" s="31">
        <v>187843.5</v>
      </c>
    </row>
    <row r="6" spans="1:2" ht="18.75" x14ac:dyDescent="0.3">
      <c r="A6" s="30" t="s">
        <v>277</v>
      </c>
      <c r="B6" s="31">
        <v>431359</v>
      </c>
    </row>
    <row r="7" spans="1:2" ht="18.75" x14ac:dyDescent="0.3">
      <c r="A7" s="30" t="s">
        <v>278</v>
      </c>
      <c r="B7" s="31">
        <v>123646.5</v>
      </c>
    </row>
    <row r="8" spans="1:2" ht="18.75" x14ac:dyDescent="0.3">
      <c r="A8" s="30" t="s">
        <v>279</v>
      </c>
      <c r="B8" s="31">
        <v>350634.5</v>
      </c>
    </row>
    <row r="9" spans="1:2" ht="18.75" x14ac:dyDescent="0.3">
      <c r="A9" s="30" t="s">
        <v>280</v>
      </c>
      <c r="B9" s="31">
        <v>371537</v>
      </c>
    </row>
    <row r="10" spans="1:2" ht="15.75" x14ac:dyDescent="0.25">
      <c r="A10" s="26" t="s">
        <v>270</v>
      </c>
      <c r="B10" s="25">
        <v>2764145</v>
      </c>
    </row>
    <row r="15" spans="1:2" ht="18.75" x14ac:dyDescent="0.3">
      <c r="A15" s="20" t="s">
        <v>4</v>
      </c>
      <c r="B15" s="21" t="s">
        <v>281</v>
      </c>
    </row>
    <row r="16" spans="1:2" ht="18.75" x14ac:dyDescent="0.3">
      <c r="A16" s="18" t="s">
        <v>20</v>
      </c>
      <c r="B16" s="19">
        <f>SUMIF(Sales_Data!E:E,A16,Sales_Data!M:M)</f>
        <v>1280588</v>
      </c>
    </row>
    <row r="17" spans="1:2" ht="18.75" x14ac:dyDescent="0.3">
      <c r="A17" s="18" t="s">
        <v>107</v>
      </c>
      <c r="B17" s="19">
        <f>SUMIF(Sales_Data!E:E,A17,Sales_Data!M:M)</f>
        <v>354412</v>
      </c>
    </row>
    <row r="18" spans="1:2" ht="18.75" x14ac:dyDescent="0.3">
      <c r="A18" s="18" t="s">
        <v>73</v>
      </c>
      <c r="B18" s="19">
        <f>SUMIF(Sales_Data!E:E,A18,Sales_Data!M:M)</f>
        <v>134788.5</v>
      </c>
    </row>
    <row r="19" spans="1:2" ht="18.75" x14ac:dyDescent="0.3">
      <c r="A19" s="18" t="s">
        <v>89</v>
      </c>
      <c r="B19" s="19">
        <f>SUMIF(Sales_Data!E:E,A19,Sales_Data!M:M)</f>
        <v>901482.5</v>
      </c>
    </row>
    <row r="20" spans="1:2" ht="18.75" x14ac:dyDescent="0.3">
      <c r="A20" s="22" t="s">
        <v>46</v>
      </c>
      <c r="B20" s="23">
        <f>SUMIF(Sales_Data!E:E,A20,Sales_Data!M:M)</f>
        <v>92874</v>
      </c>
    </row>
    <row r="21" spans="1:2" ht="15.75" x14ac:dyDescent="0.25">
      <c r="A21" s="17"/>
      <c r="B21" s="17"/>
    </row>
    <row r="22" spans="1:2" ht="15.75" x14ac:dyDescent="0.25">
      <c r="A22" s="17"/>
      <c r="B22" s="17"/>
    </row>
    <row r="23" spans="1:2" ht="15.75" x14ac:dyDescent="0.25">
      <c r="A23" s="17"/>
      <c r="B23" s="17"/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Total Sales</vt:lpstr>
      <vt:lpstr>Month Wise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Maurya</cp:lastModifiedBy>
  <dcterms:created xsi:type="dcterms:W3CDTF">2026-09-15T04:09:08Z</dcterms:created>
  <dcterms:modified xsi:type="dcterms:W3CDTF">2026-10-13T08:50:49Z</dcterms:modified>
</cp:coreProperties>
</file>