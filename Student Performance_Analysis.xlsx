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EC99F74E-0DEC-47EA-A7A1-472BB9D2E447}" xr6:coauthVersionLast="47" xr6:coauthVersionMax="47" xr10:uidLastSave="{00000000-0000-0000-0000-000000000000}"/>
  <bookViews>
    <workbookView xWindow="-120" yWindow="-120" windowWidth="29040" windowHeight="15720" activeTab="1" xr2:uid="{DDF91A05-2DB1-49D7-9876-40D7C4559591}"/>
  </bookViews>
  <sheets>
    <sheet name="Students_Data" sheetId="1" r:id="rId1"/>
    <sheet name="Analysis" sheetId="2" r:id="rId2"/>
  </sheets>
  <definedNames>
    <definedName name="_xlnm._FilterDatabase" localSheetId="0" hidden="1">Students_Data!$A$1:$I$16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B4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B2" i="2"/>
  <c r="B3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<sst xmlns="http://schemas.openxmlformats.org/spreadsheetml/2006/main" count="47" uniqueCount="32">
  <si>
    <t>Student Name</t>
  </si>
  <si>
    <t>Mathmatics</t>
  </si>
  <si>
    <t>Science</t>
  </si>
  <si>
    <t>English</t>
  </si>
  <si>
    <t>Computer Science</t>
  </si>
  <si>
    <t>Attendance %</t>
  </si>
  <si>
    <t>Total Marks</t>
  </si>
  <si>
    <t>Average Marks</t>
  </si>
  <si>
    <t>Result</t>
  </si>
  <si>
    <t>Riya Singh</t>
  </si>
  <si>
    <t>Khushi Maurya</t>
  </si>
  <si>
    <t>Divya Rajput</t>
  </si>
  <si>
    <t>Sonali Mishra</t>
  </si>
  <si>
    <t>Shekhar</t>
  </si>
  <si>
    <t>Shilpa Singh</t>
  </si>
  <si>
    <t xml:space="preserve">Shreya </t>
  </si>
  <si>
    <t>Ravika Patel</t>
  </si>
  <si>
    <t>Radhika</t>
  </si>
  <si>
    <t>Renu Yadav</t>
  </si>
  <si>
    <t>Garima Singh</t>
  </si>
  <si>
    <t>Anju Patel</t>
  </si>
  <si>
    <t>Pooja Maurya</t>
  </si>
  <si>
    <t>Neelam Gupta</t>
  </si>
  <si>
    <t>Rishika</t>
  </si>
  <si>
    <t>Metric</t>
  </si>
  <si>
    <t>Value</t>
  </si>
  <si>
    <t>Highest Total</t>
  </si>
  <si>
    <t>Lowest Total</t>
  </si>
  <si>
    <t>Class Average</t>
  </si>
  <si>
    <t>Grand Total</t>
  </si>
  <si>
    <t>Sum of Total Marks</t>
  </si>
  <si>
    <t>Students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</si>
</sst>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4"/>
      <color theme="1"/>
      <name val="Book Antiqua"/>
      <family val="1"/>
    </font>
    <font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Performance_Analysis.xlsx]Analysis!PivotTable3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 Total</a:t>
            </a:r>
            <a:r>
              <a:rPr lang="en-US" baseline="0"/>
              <a:t>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Analysis!$D$2:$D$17</c:f>
              <c:strCache>
                <c:ptCount val="15"/>
                <c:pt idx="0">
                  <c:v>Anju Patel</c:v>
                </c:pt>
                <c:pt idx="1">
                  <c:v>Divya Rajput</c:v>
                </c:pt>
                <c:pt idx="2">
                  <c:v>Garima Singh</c:v>
                </c:pt>
                <c:pt idx="3">
                  <c:v>Khushi Maurya</c:v>
                </c:pt>
                <c:pt idx="4">
                  <c:v>Neelam Gupta</c:v>
                </c:pt>
                <c:pt idx="5">
                  <c:v>Pooja Maurya</c:v>
                </c:pt>
                <c:pt idx="6">
                  <c:v>Radhika</c:v>
                </c:pt>
                <c:pt idx="7">
                  <c:v>Ravika Patel</c:v>
                </c:pt>
                <c:pt idx="8">
                  <c:v>Renu Yadav</c:v>
                </c:pt>
                <c:pt idx="9">
                  <c:v>Rishika</c:v>
                </c:pt>
                <c:pt idx="10">
                  <c:v>Riya Singh</c:v>
                </c:pt>
                <c:pt idx="11">
                  <c:v>Shekhar</c:v>
                </c:pt>
                <c:pt idx="12">
                  <c:v>Shilpa Singh</c:v>
                </c:pt>
                <c:pt idx="13">
                  <c:v>Shreya </c:v>
                </c:pt>
                <c:pt idx="14">
                  <c:v>Sonali Mishra</c:v>
                </c:pt>
              </c:strCache>
            </c:strRef>
          </c:cat>
          <c:val>
            <c:numRef>
              <c:f>Analysis!$E$2:$E$17</c:f>
              <c:numCache>
                <c:formatCode>General</c:formatCode>
                <c:ptCount val="15"/>
                <c:pt idx="0">
                  <c:v>196</c:v>
                </c:pt>
                <c:pt idx="1">
                  <c:v>173</c:v>
                </c:pt>
                <c:pt idx="2">
                  <c:v>257</c:v>
                </c:pt>
                <c:pt idx="3">
                  <c:v>138</c:v>
                </c:pt>
                <c:pt idx="4">
                  <c:v>277</c:v>
                </c:pt>
                <c:pt idx="5">
                  <c:v>236</c:v>
                </c:pt>
                <c:pt idx="6">
                  <c:v>278</c:v>
                </c:pt>
                <c:pt idx="7">
                  <c:v>213</c:v>
                </c:pt>
                <c:pt idx="8">
                  <c:v>216</c:v>
                </c:pt>
                <c:pt idx="9">
                  <c:v>289</c:v>
                </c:pt>
                <c:pt idx="10">
                  <c:v>91</c:v>
                </c:pt>
                <c:pt idx="11">
                  <c:v>140</c:v>
                </c:pt>
                <c:pt idx="12">
                  <c:v>242</c:v>
                </c:pt>
                <c:pt idx="13">
                  <c:v>351</c:v>
                </c:pt>
                <c:pt idx="1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6-4F17-9D10-1FBD8694F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741135"/>
        <c:axId val="168680687"/>
      </c:barChart>
      <c:catAx>
        <c:axId val="18874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68680687"/>
        <c:crosses val="autoZero"/>
        <c:auto val="1"/>
        <c:lblAlgn val="l"/>
        <c:lblOffset val="100"/>
        <c:noMultiLvlLbl val="0"/>
      </c:catAx>
      <c:valAx>
        <c:axId val="1686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12989</xdr:colOff>
      <xdr:row>0</xdr:row>
      <xdr:rowOff>17318</xdr:rowOff>
    </xdr:from>
    <xdr:to>
      <xdr:col>15</xdr:col>
      <xdr:colOff>25978</xdr:colOff>
      <xdr:row>17</xdr:row>
      <xdr:rowOff>8659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CABAC2-F932-B990-41F0-1B6A26C2A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94.663184606485" createdVersion="8" refreshedVersion="8" minRefreshableVersion="3" recordCount="15" xr:uid="{0E5BF376-1957-44A4-85BF-6AC58900FB1E}">
  <cacheSource type="worksheet">
    <worksheetSource ref="A1:I16" sheet="Students_Data"/>
  </cacheSource>
  <cacheFields count="9">
    <cacheField name="Student Name" numFmtId="0">
      <sharedItems count="15">
        <s v="Shreya "/>
        <s v="Rishika"/>
        <s v="Radhika"/>
        <s v="Neelam Gupta"/>
        <s v="Garima Singh"/>
        <s v="Shilpa Singh"/>
        <s v="Pooja Maurya"/>
        <s v="Renu Yadav"/>
        <s v="Ravika Patel"/>
        <s v="Anju Patel"/>
        <s v="Divya Rajput"/>
        <s v="Sonali Mishra"/>
        <s v="Shekhar"/>
        <s v="Khushi Maurya"/>
        <s v="Riya Singh"/>
      </sharedItems>
    </cacheField>
    <cacheField name="Mathmatics" numFmtId="0">
      <sharedItems containsSemiMixedTypes="0" containsString="0" containsNumber="1" containsInteger="1" minValue="23" maxValue="98"/>
    </cacheField>
    <cacheField name="Science" numFmtId="0">
      <sharedItems containsSemiMixedTypes="0" containsString="0" containsNumber="1" containsInteger="1" minValue="22" maxValue="98"/>
    </cacheField>
    <cacheField name="English" numFmtId="0">
      <sharedItems containsSemiMixedTypes="0" containsString="0" containsNumber="1" containsInteger="1" minValue="22" maxValue="98"/>
    </cacheField>
    <cacheField name="Computer Science" numFmtId="0">
      <sharedItems containsSemiMixedTypes="0" containsString="0" containsNumber="1" containsInteger="1" minValue="23" maxValue="98"/>
    </cacheField>
    <cacheField name="Attendance %" numFmtId="9">
      <sharedItems containsSemiMixedTypes="0" containsString="0" containsNumber="1" minValue="0.3" maxValue="0.87"/>
    </cacheField>
    <cacheField name="Total Marks" numFmtId="0">
      <sharedItems containsSemiMixedTypes="0" containsString="0" containsNumber="1" containsInteger="1" minValue="91" maxValue="351"/>
    </cacheField>
    <cacheField name="Average Marks" numFmtId="0">
      <sharedItems containsSemiMixedTypes="0" containsString="0" containsNumber="1" minValue="22.75" maxValue="87.75"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98"/>
    <n v="89"/>
    <n v="98"/>
    <n v="66"/>
    <n v="0.78"/>
    <n v="351"/>
    <n v="87.75"/>
    <s v="Pass"/>
  </r>
  <r>
    <x v="1"/>
    <n v="89"/>
    <n v="78"/>
    <n v="87"/>
    <n v="35"/>
    <n v="0.68"/>
    <n v="289"/>
    <n v="72.25"/>
    <s v="Pass"/>
  </r>
  <r>
    <x v="2"/>
    <n v="56"/>
    <n v="57"/>
    <n v="67"/>
    <n v="98"/>
    <n v="0.7"/>
    <n v="278"/>
    <n v="69.5"/>
    <s v="Pass"/>
  </r>
  <r>
    <x v="3"/>
    <n v="87"/>
    <n v="98"/>
    <n v="35"/>
    <n v="57"/>
    <n v="0.87"/>
    <n v="277"/>
    <n v="69.25"/>
    <s v="Pass"/>
  </r>
  <r>
    <x v="4"/>
    <n v="58"/>
    <n v="45"/>
    <n v="57"/>
    <n v="97"/>
    <n v="0.69"/>
    <n v="257"/>
    <n v="64.25"/>
    <s v="Pass"/>
  </r>
  <r>
    <x v="5"/>
    <n v="77"/>
    <n v="87"/>
    <n v="22"/>
    <n v="56"/>
    <n v="0.7"/>
    <n v="242"/>
    <n v="60.5"/>
    <s v="Fail"/>
  </r>
  <r>
    <x v="6"/>
    <n v="35"/>
    <n v="77"/>
    <n v="46"/>
    <n v="78"/>
    <n v="0.45"/>
    <n v="236"/>
    <n v="59"/>
    <s v="Pass"/>
  </r>
  <r>
    <x v="7"/>
    <n v="57"/>
    <n v="35"/>
    <n v="56"/>
    <n v="68"/>
    <n v="0.67"/>
    <n v="216"/>
    <n v="54"/>
    <s v="Pass"/>
  </r>
  <r>
    <x v="8"/>
    <n v="78"/>
    <n v="23"/>
    <n v="78"/>
    <n v="34"/>
    <n v="0.66"/>
    <n v="213"/>
    <n v="53.25"/>
    <s v="Fail"/>
  </r>
  <r>
    <x v="9"/>
    <n v="46"/>
    <n v="35"/>
    <n v="58"/>
    <n v="57"/>
    <n v="0.56000000000000005"/>
    <n v="196"/>
    <n v="49"/>
    <s v="Pass"/>
  </r>
  <r>
    <x v="10"/>
    <n v="35"/>
    <n v="58"/>
    <n v="35"/>
    <n v="45"/>
    <n v="0.3"/>
    <n v="173"/>
    <n v="43.25"/>
    <s v="Pass"/>
  </r>
  <r>
    <x v="11"/>
    <n v="23"/>
    <n v="22"/>
    <n v="22"/>
    <n v="98"/>
    <n v="0.8"/>
    <n v="165"/>
    <n v="41.25"/>
    <s v="Fail"/>
  </r>
  <r>
    <x v="12"/>
    <n v="35"/>
    <n v="35"/>
    <n v="35"/>
    <n v="35"/>
    <n v="0.5"/>
    <n v="140"/>
    <n v="35"/>
    <s v="Pass"/>
  </r>
  <r>
    <x v="13"/>
    <n v="57"/>
    <n v="34"/>
    <n v="23"/>
    <n v="24"/>
    <n v="0.45"/>
    <n v="138"/>
    <n v="34.5"/>
    <s v="Fail"/>
  </r>
  <r>
    <x v="14"/>
    <n v="23"/>
    <n v="22"/>
    <n v="23"/>
    <n v="23"/>
    <n v="0.4"/>
    <n v="91"/>
    <n v="22.75"/>
    <s v="F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32A14-EACC-4249-AC50-E0D18A2500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udents Name">
  <location ref="D1:E17" firstHeaderRow="1" firstDataRow="1" firstDataCol="1"/>
  <pivotFields count="9">
    <pivotField axis="axisRow" showAll="0">
      <items count="16">
        <item x="9"/>
        <item x="10"/>
        <item x="4"/>
        <item x="13"/>
        <item x="3"/>
        <item x="6"/>
        <item x="2"/>
        <item x="8"/>
        <item x="7"/>
        <item x="1"/>
        <item x="14"/>
        <item x="12"/>
        <item x="5"/>
        <item x="0"/>
        <item x="11"/>
        <item t="default"/>
      </items>
    </pivotField>
    <pivotField showAll="0"/>
    <pivotField showAll="0"/>
    <pivotField showAll="0"/>
    <pivotField showAll="0"/>
    <pivotField numFmtId="9" showAll="0"/>
    <pivotField dataField="1"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Marks" fld="6" baseField="0" baseItem="0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0542-9F8D-4280-9BA8-E0C5149000FB}">
  <dimension ref="A1:I16"/>
  <sheetViews>
    <sheetView workbookViewId="0">
      <selection activeCell="K4" sqref="K4"/>
    </sheetView>
  </sheetViews>
  <sheetFormatPr defaultRowHeight="15" x14ac:dyDescent="0.25"/>
  <cols>
    <col min="1" max="1" width="26.42578125" bestFit="1" customWidth="1"/>
    <col min="2" max="2" width="22.42578125" bestFit="1" customWidth="1"/>
    <col min="3" max="3" width="16.28515625" bestFit="1" customWidth="1"/>
    <col min="4" max="4" width="16.42578125" bestFit="1" customWidth="1"/>
    <col min="5" max="5" width="31.5703125" bestFit="1" customWidth="1"/>
    <col min="6" max="6" width="25.42578125" bestFit="1" customWidth="1"/>
    <col min="7" max="7" width="23" bestFit="1" customWidth="1"/>
    <col min="8" max="8" width="27.42578125" bestFit="1" customWidth="1"/>
    <col min="9" max="9" width="14.7109375" bestFit="1" customWidth="1"/>
  </cols>
  <sheetData>
    <row r="1" spans="1:9" ht="20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8.75" x14ac:dyDescent="0.25">
      <c r="A2" s="5" t="s">
        <v>15</v>
      </c>
      <c r="B2" s="5">
        <v>98</v>
      </c>
      <c r="C2" s="5">
        <v>89</v>
      </c>
      <c r="D2" s="5">
        <v>98</v>
      </c>
      <c r="E2" s="5">
        <v>66</v>
      </c>
      <c r="F2" s="6">
        <v>0.78</v>
      </c>
      <c r="G2" s="5">
        <f t="shared" ref="G2:G16" si="0">SUM(B2:E2)</f>
        <v>351</v>
      </c>
      <c r="H2" s="5">
        <f>AVERAGE(B2:E2)</f>
        <v>87.75</v>
      </c>
      <c r="I2" s="5" t="str">
        <f>IF(MIN(B2:E2)&gt;33,"Pass","Fail")</f>
        <v>Pass</v>
      </c>
    </row>
    <row r="3" spans="1:9" ht="18.75" x14ac:dyDescent="0.25">
      <c r="A3" s="5" t="s">
        <v>23</v>
      </c>
      <c r="B3" s="5">
        <v>89</v>
      </c>
      <c r="C3" s="5">
        <v>78</v>
      </c>
      <c r="D3" s="5">
        <v>87</v>
      </c>
      <c r="E3" s="5">
        <v>35</v>
      </c>
      <c r="F3" s="6">
        <v>0.68</v>
      </c>
      <c r="G3" s="5">
        <f t="shared" si="0"/>
        <v>289</v>
      </c>
      <c r="H3" s="5">
        <f t="shared" ref="H3:H16" si="1">AVERAGE(B3:E3)</f>
        <v>72.25</v>
      </c>
      <c r="I3" s="5" t="str">
        <f t="shared" ref="I3:I16" si="2">IF(MIN(B3:E3)&gt;33,"Pass","Fail")</f>
        <v>Pass</v>
      </c>
    </row>
    <row r="4" spans="1:9" ht="18.75" x14ac:dyDescent="0.25">
      <c r="A4" s="5" t="s">
        <v>17</v>
      </c>
      <c r="B4" s="5">
        <v>56</v>
      </c>
      <c r="C4" s="5">
        <v>57</v>
      </c>
      <c r="D4" s="5">
        <v>67</v>
      </c>
      <c r="E4" s="5">
        <v>98</v>
      </c>
      <c r="F4" s="6">
        <v>0.7</v>
      </c>
      <c r="G4" s="5">
        <f t="shared" si="0"/>
        <v>278</v>
      </c>
      <c r="H4" s="5">
        <f t="shared" si="1"/>
        <v>69.5</v>
      </c>
      <c r="I4" s="5" t="str">
        <f t="shared" si="2"/>
        <v>Pass</v>
      </c>
    </row>
    <row r="5" spans="1:9" ht="18.75" x14ac:dyDescent="0.25">
      <c r="A5" s="5" t="s">
        <v>22</v>
      </c>
      <c r="B5" s="5">
        <v>87</v>
      </c>
      <c r="C5" s="5">
        <v>98</v>
      </c>
      <c r="D5" s="5">
        <v>35</v>
      </c>
      <c r="E5" s="5">
        <v>57</v>
      </c>
      <c r="F5" s="6">
        <v>0.87</v>
      </c>
      <c r="G5" s="5">
        <f t="shared" si="0"/>
        <v>277</v>
      </c>
      <c r="H5" s="5">
        <f t="shared" si="1"/>
        <v>69.25</v>
      </c>
      <c r="I5" s="5" t="str">
        <f t="shared" si="2"/>
        <v>Pass</v>
      </c>
    </row>
    <row r="6" spans="1:9" ht="18.75" x14ac:dyDescent="0.25">
      <c r="A6" s="5" t="s">
        <v>19</v>
      </c>
      <c r="B6" s="5">
        <v>58</v>
      </c>
      <c r="C6" s="5">
        <v>45</v>
      </c>
      <c r="D6" s="5">
        <v>57</v>
      </c>
      <c r="E6" s="5">
        <v>97</v>
      </c>
      <c r="F6" s="6">
        <v>0.69</v>
      </c>
      <c r="G6" s="5">
        <f t="shared" si="0"/>
        <v>257</v>
      </c>
      <c r="H6" s="5">
        <f t="shared" si="1"/>
        <v>64.25</v>
      </c>
      <c r="I6" s="5" t="str">
        <f t="shared" si="2"/>
        <v>Pass</v>
      </c>
    </row>
    <row r="7" spans="1:9" ht="18.75" x14ac:dyDescent="0.25">
      <c r="A7" s="5" t="s">
        <v>14</v>
      </c>
      <c r="B7" s="5">
        <v>77</v>
      </c>
      <c r="C7" s="5">
        <v>87</v>
      </c>
      <c r="D7" s="5">
        <v>22</v>
      </c>
      <c r="E7" s="5">
        <v>56</v>
      </c>
      <c r="F7" s="6">
        <v>0.7</v>
      </c>
      <c r="G7" s="5">
        <f t="shared" si="0"/>
        <v>242</v>
      </c>
      <c r="H7" s="5">
        <f t="shared" si="1"/>
        <v>60.5</v>
      </c>
      <c r="I7" s="5" t="str">
        <f t="shared" si="2"/>
        <v>Fail</v>
      </c>
    </row>
    <row r="8" spans="1:9" ht="18.75" x14ac:dyDescent="0.25">
      <c r="A8" s="5" t="s">
        <v>21</v>
      </c>
      <c r="B8" s="5">
        <v>87</v>
      </c>
      <c r="C8" s="5">
        <v>77</v>
      </c>
      <c r="D8" s="5">
        <v>87</v>
      </c>
      <c r="E8" s="5">
        <v>78</v>
      </c>
      <c r="F8" s="6">
        <v>0.45</v>
      </c>
      <c r="G8" s="5">
        <f t="shared" si="0"/>
        <v>329</v>
      </c>
      <c r="H8" s="5">
        <f t="shared" si="1"/>
        <v>82.25</v>
      </c>
      <c r="I8" s="5" t="str">
        <f t="shared" si="2"/>
        <v>Pass</v>
      </c>
    </row>
    <row r="9" spans="1:9" ht="18.75" x14ac:dyDescent="0.25">
      <c r="A9" s="5" t="s">
        <v>18</v>
      </c>
      <c r="B9" s="5">
        <v>57</v>
      </c>
      <c r="C9" s="5">
        <v>35</v>
      </c>
      <c r="D9" s="5">
        <v>56</v>
      </c>
      <c r="E9" s="5">
        <v>68</v>
      </c>
      <c r="F9" s="6">
        <v>0.67</v>
      </c>
      <c r="G9" s="5">
        <f t="shared" si="0"/>
        <v>216</v>
      </c>
      <c r="H9" s="5">
        <f t="shared" si="1"/>
        <v>54</v>
      </c>
      <c r="I9" s="5" t="str">
        <f t="shared" si="2"/>
        <v>Pass</v>
      </c>
    </row>
    <row r="10" spans="1:9" ht="18.75" x14ac:dyDescent="0.25">
      <c r="A10" s="5" t="s">
        <v>16</v>
      </c>
      <c r="B10" s="5">
        <v>78</v>
      </c>
      <c r="C10" s="5">
        <v>23</v>
      </c>
      <c r="D10" s="5">
        <v>78</v>
      </c>
      <c r="E10" s="5">
        <v>34</v>
      </c>
      <c r="F10" s="6">
        <v>0.66</v>
      </c>
      <c r="G10" s="5">
        <f t="shared" si="0"/>
        <v>213</v>
      </c>
      <c r="H10" s="5">
        <f t="shared" si="1"/>
        <v>53.25</v>
      </c>
      <c r="I10" s="5" t="str">
        <f t="shared" si="2"/>
        <v>Fail</v>
      </c>
    </row>
    <row r="11" spans="1:9" ht="18.75" x14ac:dyDescent="0.25">
      <c r="A11" s="5" t="s">
        <v>20</v>
      </c>
      <c r="B11" s="5">
        <v>46</v>
      </c>
      <c r="C11" s="5">
        <v>35</v>
      </c>
      <c r="D11" s="5">
        <v>58</v>
      </c>
      <c r="E11" s="5">
        <v>57</v>
      </c>
      <c r="F11" s="6">
        <v>0.56000000000000005</v>
      </c>
      <c r="G11" s="5">
        <f t="shared" si="0"/>
        <v>196</v>
      </c>
      <c r="H11" s="5">
        <f t="shared" si="1"/>
        <v>49</v>
      </c>
      <c r="I11" s="5" t="str">
        <f t="shared" si="2"/>
        <v>Pass</v>
      </c>
    </row>
    <row r="12" spans="1:9" ht="18.75" x14ac:dyDescent="0.25">
      <c r="A12" s="5" t="s">
        <v>11</v>
      </c>
      <c r="B12" s="5">
        <v>78</v>
      </c>
      <c r="C12" s="5">
        <v>98</v>
      </c>
      <c r="D12" s="5">
        <v>57</v>
      </c>
      <c r="E12" s="5">
        <v>98</v>
      </c>
      <c r="F12" s="6">
        <v>0.3</v>
      </c>
      <c r="G12" s="5">
        <f t="shared" si="0"/>
        <v>331</v>
      </c>
      <c r="H12" s="5">
        <f t="shared" si="1"/>
        <v>82.75</v>
      </c>
      <c r="I12" s="5" t="str">
        <f t="shared" si="2"/>
        <v>Pass</v>
      </c>
    </row>
    <row r="13" spans="1:9" ht="18.75" x14ac:dyDescent="0.25">
      <c r="A13" s="5" t="s">
        <v>12</v>
      </c>
      <c r="B13" s="5">
        <v>23</v>
      </c>
      <c r="C13" s="5">
        <v>22</v>
      </c>
      <c r="D13" s="5">
        <v>22</v>
      </c>
      <c r="E13" s="5">
        <v>98</v>
      </c>
      <c r="F13" s="6">
        <v>0.8</v>
      </c>
      <c r="G13" s="5">
        <f t="shared" si="0"/>
        <v>165</v>
      </c>
      <c r="H13" s="5">
        <f t="shared" si="1"/>
        <v>41.25</v>
      </c>
      <c r="I13" s="5" t="str">
        <f t="shared" si="2"/>
        <v>Fail</v>
      </c>
    </row>
    <row r="14" spans="1:9" ht="18.75" x14ac:dyDescent="0.25">
      <c r="A14" s="5" t="s">
        <v>13</v>
      </c>
      <c r="B14" s="5">
        <v>35</v>
      </c>
      <c r="C14" s="5">
        <v>35</v>
      </c>
      <c r="D14" s="5">
        <v>35</v>
      </c>
      <c r="E14" s="5">
        <v>35</v>
      </c>
      <c r="F14" s="6">
        <v>0.5</v>
      </c>
      <c r="G14" s="5">
        <f t="shared" si="0"/>
        <v>140</v>
      </c>
      <c r="H14" s="5">
        <f t="shared" si="1"/>
        <v>35</v>
      </c>
      <c r="I14" s="5" t="str">
        <f t="shared" si="2"/>
        <v>Pass</v>
      </c>
    </row>
    <row r="15" spans="1:9" ht="18.75" x14ac:dyDescent="0.25">
      <c r="A15" s="5" t="s">
        <v>10</v>
      </c>
      <c r="B15" s="5">
        <v>57</v>
      </c>
      <c r="C15" s="5">
        <v>34</v>
      </c>
      <c r="D15" s="5">
        <v>23</v>
      </c>
      <c r="E15" s="5">
        <v>24</v>
      </c>
      <c r="F15" s="6">
        <v>0.45</v>
      </c>
      <c r="G15" s="5">
        <f t="shared" si="0"/>
        <v>138</v>
      </c>
      <c r="H15" s="5">
        <f t="shared" si="1"/>
        <v>34.5</v>
      </c>
      <c r="I15" s="5" t="str">
        <f t="shared" si="2"/>
        <v>Fail</v>
      </c>
    </row>
    <row r="16" spans="1:9" ht="18.75" x14ac:dyDescent="0.25">
      <c r="A16" s="5" t="s">
        <v>9</v>
      </c>
      <c r="B16" s="5">
        <v>23</v>
      </c>
      <c r="C16" s="5">
        <v>22</v>
      </c>
      <c r="D16" s="5">
        <v>23</v>
      </c>
      <c r="E16" s="5">
        <v>23</v>
      </c>
      <c r="F16" s="6">
        <v>0.4</v>
      </c>
      <c r="G16" s="5">
        <f t="shared" si="0"/>
        <v>91</v>
      </c>
      <c r="H16" s="5">
        <f t="shared" si="1"/>
        <v>22.75</v>
      </c>
      <c r="I16" s="5" t="str">
        <f t="shared" si="2"/>
        <v>Fail</v>
      </c>
    </row>
  </sheetData>
  <autoFilter ref="A1:I16" xr:uid="{FCCD0542-9F8D-4280-9BA8-E0C5149000FB}"/>
  <sortState xmlns:xlrd2="http://schemas.microsoft.com/office/spreadsheetml/2017/richdata2" ref="A2:I16">
    <sortCondition descending="1" ref="G2:G16"/>
  </sortState>
  <conditionalFormatting sqref="H2:H16">
    <cfRule type="cellIs" dxfId="1" priority="1" operator="greaterThan">
      <formula>75</formula>
    </cfRule>
  </conditionalFormatting>
  <conditionalFormatting sqref="I2:I16">
    <cfRule type="containsText" dxfId="0" priority="2" operator="containsText" text="Fail">
      <formula>NOT(ISERROR(SEARCH("Fail",I2)))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ABB2-4737-41E5-ADE3-610CF8B61032}">
  <dimension ref="A1:E17"/>
  <sheetViews>
    <sheetView tabSelected="1" zoomScale="110" zoomScaleNormal="110" workbookViewId="0">
      <selection activeCell="Q8" sqref="Q8"/>
    </sheetView>
  </sheetViews>
  <sheetFormatPr defaultRowHeight="18.75" x14ac:dyDescent="0.25"/>
  <cols>
    <col min="1" max="1" width="15.7109375" style="1" bestFit="1" customWidth="1"/>
    <col min="2" max="2" width="8.85546875" style="1" bestFit="1" customWidth="1"/>
    <col min="4" max="4" width="18.7109375" bestFit="1" customWidth="1"/>
    <col min="5" max="5" width="21" bestFit="1" customWidth="1"/>
  </cols>
  <sheetData>
    <row r="1" spans="1:5" x14ac:dyDescent="0.3">
      <c r="A1" s="8" t="s">
        <v>24</v>
      </c>
      <c r="B1" s="8" t="s">
        <v>25</v>
      </c>
      <c r="D1" s="2" t="s">
        <v>31</v>
      </c>
      <c r="E1" s="3" t="s">
        <v>30</v>
      </c>
    </row>
    <row r="2" spans="1:5" ht="16.5" x14ac:dyDescent="0.3">
      <c r="A2" s="9" t="s">
        <v>26</v>
      </c>
      <c r="B2" s="9">
        <f>MAX(Students_Data!G2:G16)</f>
        <v>351</v>
      </c>
      <c r="D2" s="4" t="s">
        <v>20</v>
      </c>
      <c r="E2" s="3">
        <v>196</v>
      </c>
    </row>
    <row r="3" spans="1:5" ht="16.5" x14ac:dyDescent="0.3">
      <c r="A3" s="9" t="s">
        <v>27</v>
      </c>
      <c r="B3" s="9">
        <f>MIN(Students_Data!G2:G16)</f>
        <v>91</v>
      </c>
      <c r="D3" s="4" t="s">
        <v>11</v>
      </c>
      <c r="E3" s="3">
        <v>173</v>
      </c>
    </row>
    <row r="4" spans="1:5" ht="16.5" x14ac:dyDescent="0.3">
      <c r="A4" s="9" t="s">
        <v>28</v>
      </c>
      <c r="B4" s="10">
        <f>AVERAGE(Students_Data!H2:H16)</f>
        <v>58.55</v>
      </c>
      <c r="D4" s="4" t="s">
        <v>19</v>
      </c>
      <c r="E4" s="3">
        <v>257</v>
      </c>
    </row>
    <row r="5" spans="1:5" x14ac:dyDescent="0.3">
      <c r="D5" s="4" t="s">
        <v>10</v>
      </c>
      <c r="E5" s="3">
        <v>138</v>
      </c>
    </row>
    <row r="6" spans="1:5" x14ac:dyDescent="0.3">
      <c r="D6" s="4" t="s">
        <v>22</v>
      </c>
      <c r="E6" s="3">
        <v>277</v>
      </c>
    </row>
    <row r="7" spans="1:5" x14ac:dyDescent="0.3">
      <c r="D7" s="4" t="s">
        <v>21</v>
      </c>
      <c r="E7" s="3">
        <v>236</v>
      </c>
    </row>
    <row r="8" spans="1:5" x14ac:dyDescent="0.3">
      <c r="D8" s="4" t="s">
        <v>17</v>
      </c>
      <c r="E8" s="3">
        <v>278</v>
      </c>
    </row>
    <row r="9" spans="1:5" x14ac:dyDescent="0.3">
      <c r="D9" s="4" t="s">
        <v>16</v>
      </c>
      <c r="E9" s="3">
        <v>213</v>
      </c>
    </row>
    <row r="10" spans="1:5" x14ac:dyDescent="0.3">
      <c r="D10" s="4" t="s">
        <v>18</v>
      </c>
      <c r="E10" s="3">
        <v>216</v>
      </c>
    </row>
    <row r="11" spans="1:5" x14ac:dyDescent="0.3">
      <c r="D11" s="4" t="s">
        <v>23</v>
      </c>
      <c r="E11" s="3">
        <v>289</v>
      </c>
    </row>
    <row r="12" spans="1:5" x14ac:dyDescent="0.3">
      <c r="D12" s="4" t="s">
        <v>9</v>
      </c>
      <c r="E12" s="3">
        <v>91</v>
      </c>
    </row>
    <row r="13" spans="1:5" x14ac:dyDescent="0.3">
      <c r="D13" s="4" t="s">
        <v>13</v>
      </c>
      <c r="E13" s="3">
        <v>140</v>
      </c>
    </row>
    <row r="14" spans="1:5" x14ac:dyDescent="0.3">
      <c r="D14" s="4" t="s">
        <v>14</v>
      </c>
      <c r="E14" s="3">
        <v>242</v>
      </c>
    </row>
    <row r="15" spans="1:5" x14ac:dyDescent="0.3">
      <c r="D15" s="4" t="s">
        <v>15</v>
      </c>
      <c r="E15" s="3">
        <v>351</v>
      </c>
    </row>
    <row r="16" spans="1:5" x14ac:dyDescent="0.3">
      <c r="D16" s="4" t="s">
        <v>12</v>
      </c>
      <c r="E16" s="3">
        <v>165</v>
      </c>
    </row>
    <row r="17" spans="4:5" x14ac:dyDescent="0.3">
      <c r="D17" s="4" t="s">
        <v>29</v>
      </c>
      <c r="E17" s="3">
        <v>3262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Maurya</dc:creator>
  <cp:lastModifiedBy>Khushi Maurya</cp:lastModifiedBy>
  <dcterms:created xsi:type="dcterms:W3CDTF">2026-09-29T09:36:41Z</dcterms:created>
  <dcterms:modified xsi:type="dcterms:W3CDTF">2026-09-30T06:38:01Z</dcterms:modified>
</cp:coreProperties>
</file>