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81A0BCB4-14A3-4756-AB5D-1B6EF29087B5}" xr6:coauthVersionLast="47" xr6:coauthVersionMax="47" xr10:uidLastSave="{00000000-0000-0000-0000-000000000000}"/>
  <bookViews>
    <workbookView xWindow="-120" yWindow="-120" windowWidth="29040" windowHeight="15720" tabRatio="657" activeTab="1" xr2:uid="{2C56A52A-2F92-4C74-A053-23CA2CD8501B}"/>
  </bookViews>
  <sheets>
    <sheet name="Q1. Students" sheetId="1" r:id="rId1"/>
    <sheet name="Q1. Summary" sheetId="2" r:id="rId2"/>
    <sheet name="Q2. Employees" sheetId="3" r:id="rId3"/>
    <sheet name="Q2. Summary" sheetId="4" r:id="rId4"/>
  </sheets>
  <externalReferences>
    <externalReference r:id="rId5"/>
  </externalReferences>
  <calcPr calcId="191029"/>
  <pivotCaches>
    <pivotCache cacheId="2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C13" i="4"/>
  <c r="C12" i="4"/>
  <c r="C11" i="4"/>
  <c r="C10" i="4"/>
  <c r="C9" i="4"/>
  <c r="D13" i="4"/>
  <c r="D11" i="4"/>
  <c r="D12" i="4"/>
  <c r="D10" i="4"/>
  <c r="D9" i="4"/>
  <c r="B9" i="4"/>
  <c r="B10" i="4"/>
  <c r="B11" i="4"/>
  <c r="B12" i="4"/>
  <c r="B13" i="4"/>
  <c r="B2" i="4"/>
  <c r="B4" i="4"/>
  <c r="B3" i="4"/>
  <c r="B4" i="2"/>
  <c r="B5" i="2"/>
  <c r="B6" i="2"/>
  <c r="B3" i="2"/>
  <c r="B2" i="2"/>
  <c r="B14" i="2"/>
  <c r="B13" i="2"/>
  <c r="B12" i="2"/>
  <c r="B11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I2" i="1"/>
  <c r="J2" i="1"/>
  <c r="K2" i="1"/>
  <c r="L2" i="1"/>
  <c r="I3" i="1"/>
  <c r="J3" i="1"/>
  <c r="K3" i="1"/>
  <c r="L3" i="1"/>
  <c r="I4" i="1"/>
  <c r="J4" i="1" s="1"/>
  <c r="I5" i="1"/>
  <c r="J5" i="1" s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 s="1"/>
  <c r="L29" i="1"/>
  <c r="I30" i="1"/>
  <c r="J30" i="1"/>
  <c r="L30" i="1" s="1"/>
  <c r="K30" i="1"/>
  <c r="I31" i="1"/>
  <c r="J31" i="1"/>
  <c r="K31" i="1"/>
  <c r="L31" i="1"/>
  <c r="K4" i="1" l="1"/>
  <c r="L4" i="1"/>
  <c r="L5" i="1"/>
  <c r="K5" i="1"/>
</calcChain>
</file>

<file path=xl/sharedStrings.xml><?xml version="1.0" encoding="utf-8"?>
<sst xmlns="http://schemas.openxmlformats.org/spreadsheetml/2006/main" count="309" uniqueCount="159">
  <si>
    <t>Female</t>
  </si>
  <si>
    <t>Welder</t>
  </si>
  <si>
    <t>Yash</t>
  </si>
  <si>
    <t>Male</t>
  </si>
  <si>
    <t>Fitter</t>
  </si>
  <si>
    <t>Vansh</t>
  </si>
  <si>
    <t>Electrician</t>
  </si>
  <si>
    <t>Tanmay</t>
  </si>
  <si>
    <t>COPA</t>
  </si>
  <si>
    <t>Simran</t>
  </si>
  <si>
    <t>AIPA</t>
  </si>
  <si>
    <t>Shivam</t>
  </si>
  <si>
    <t>Sakshi</t>
  </si>
  <si>
    <t>Rohan</t>
  </si>
  <si>
    <t>Riya</t>
  </si>
  <si>
    <t>Rahul</t>
  </si>
  <si>
    <t>Priya</t>
  </si>
  <si>
    <t>Pallavi</t>
  </si>
  <si>
    <t>Nikhil</t>
  </si>
  <si>
    <t>Neha</t>
  </si>
  <si>
    <t>Nandini</t>
  </si>
  <si>
    <t>Mohit</t>
  </si>
  <si>
    <t>Meera</t>
  </si>
  <si>
    <t>Manish</t>
  </si>
  <si>
    <t>Kavya</t>
  </si>
  <si>
    <t>Karan</t>
  </si>
  <si>
    <t>Isha</t>
  </si>
  <si>
    <t>Harsh</t>
  </si>
  <si>
    <t>Diya</t>
  </si>
  <si>
    <t>Deepak</t>
  </si>
  <si>
    <t>Chandan</t>
  </si>
  <si>
    <t>Bhavna</t>
  </si>
  <si>
    <t>Ayush</t>
  </si>
  <si>
    <t>Anjali</t>
  </si>
  <si>
    <t>Aditya</t>
  </si>
  <si>
    <t>Ananya</t>
  </si>
  <si>
    <t>Aarav</t>
  </si>
  <si>
    <t>Result</t>
  </si>
  <si>
    <t>Grade</t>
  </si>
  <si>
    <t>Percentage</t>
  </si>
  <si>
    <t>Total Marks</t>
  </si>
  <si>
    <t>Theory Marks</t>
  </si>
  <si>
    <t>Practical Marks</t>
  </si>
  <si>
    <t>Internal Marks</t>
  </si>
  <si>
    <t>Attendance %</t>
  </si>
  <si>
    <t>Gender</t>
  </si>
  <si>
    <t>Trade</t>
  </si>
  <si>
    <t>Student Name</t>
  </si>
  <si>
    <t>Roll No.</t>
  </si>
  <si>
    <t>Q1 – Student Performance Analysis</t>
  </si>
  <si>
    <t>Highest Percentage</t>
  </si>
  <si>
    <t>Lowest Percentage</t>
  </si>
  <si>
    <t>Average Percentage</t>
  </si>
  <si>
    <t>Passed Students</t>
  </si>
  <si>
    <t>Failed Students</t>
  </si>
  <si>
    <t>E</t>
  </si>
  <si>
    <t>D</t>
  </si>
  <si>
    <t>C</t>
  </si>
  <si>
    <t>B</t>
  </si>
  <si>
    <t>A</t>
  </si>
  <si>
    <t>Student Count</t>
  </si>
  <si>
    <t>Row Labels</t>
  </si>
  <si>
    <t>Grand Total</t>
  </si>
  <si>
    <t>Average of Percentage</t>
  </si>
  <si>
    <t>Count of Roll No.</t>
  </si>
  <si>
    <t>Noida</t>
  </si>
  <si>
    <t>Supervisor</t>
  </si>
  <si>
    <t>Operations</t>
  </si>
  <si>
    <t>E030</t>
  </si>
  <si>
    <t>Kanpur</t>
  </si>
  <si>
    <t>Officer</t>
  </si>
  <si>
    <t>Sales</t>
  </si>
  <si>
    <t>Raj</t>
  </si>
  <si>
    <t>E029</t>
  </si>
  <si>
    <t>Varanasi</t>
  </si>
  <si>
    <t>Analyst</t>
  </si>
  <si>
    <t>Finance</t>
  </si>
  <si>
    <t>Tanya</t>
  </si>
  <si>
    <t>E028</t>
  </si>
  <si>
    <t>Lucknow</t>
  </si>
  <si>
    <t>Assistant</t>
  </si>
  <si>
    <t>HR</t>
  </si>
  <si>
    <t>E027</t>
  </si>
  <si>
    <t>Prayagraj</t>
  </si>
  <si>
    <t>Executive</t>
  </si>
  <si>
    <t>IT</t>
  </si>
  <si>
    <t>Muskan</t>
  </si>
  <si>
    <t>E026</t>
  </si>
  <si>
    <t>Ankit</t>
  </si>
  <si>
    <t>E025</t>
  </si>
  <si>
    <t>Swati</t>
  </si>
  <si>
    <t>E024</t>
  </si>
  <si>
    <t>Nitin</t>
  </si>
  <si>
    <t>E023</t>
  </si>
  <si>
    <t>Aarti</t>
  </si>
  <si>
    <t>E022</t>
  </si>
  <si>
    <t>Varun</t>
  </si>
  <si>
    <t>E021</t>
  </si>
  <si>
    <t>Rashmi</t>
  </si>
  <si>
    <t>E020</t>
  </si>
  <si>
    <t>Gaurav</t>
  </si>
  <si>
    <t>E019</t>
  </si>
  <si>
    <t>Preeti</t>
  </si>
  <si>
    <t>E018</t>
  </si>
  <si>
    <t>Akash</t>
  </si>
  <si>
    <t>E017</t>
  </si>
  <si>
    <t>Kritika</t>
  </si>
  <si>
    <t>E016</t>
  </si>
  <si>
    <t>Manoj</t>
  </si>
  <si>
    <t>E015</t>
  </si>
  <si>
    <t>Shreya</t>
  </si>
  <si>
    <t>E014</t>
  </si>
  <si>
    <t>Rohit</t>
  </si>
  <si>
    <t>E013</t>
  </si>
  <si>
    <t>Payal</t>
  </si>
  <si>
    <t>E012</t>
  </si>
  <si>
    <t>Vivek</t>
  </si>
  <si>
    <t>E011</t>
  </si>
  <si>
    <t>Nisha</t>
  </si>
  <si>
    <t>E010</t>
  </si>
  <si>
    <t>Suresh</t>
  </si>
  <si>
    <t>E009</t>
  </si>
  <si>
    <t>Komal</t>
  </si>
  <si>
    <t>E008</t>
  </si>
  <si>
    <t>Arjun</t>
  </si>
  <si>
    <t>E007</t>
  </si>
  <si>
    <t>Sneha</t>
  </si>
  <si>
    <t>E006</t>
  </si>
  <si>
    <t>Ravi</t>
  </si>
  <si>
    <t>E005</t>
  </si>
  <si>
    <t>E004</t>
  </si>
  <si>
    <t>Vikas</t>
  </si>
  <si>
    <t>E003</t>
  </si>
  <si>
    <t>Pooja</t>
  </si>
  <si>
    <t>E002</t>
  </si>
  <si>
    <t>Amit</t>
  </si>
  <si>
    <t>E001</t>
  </si>
  <si>
    <t>Experience (Years)</t>
  </si>
  <si>
    <t>Net Salary</t>
  </si>
  <si>
    <t>Deduction</t>
  </si>
  <si>
    <t>Allowance</t>
  </si>
  <si>
    <t>HRA</t>
  </si>
  <si>
    <t>Basic Salary</t>
  </si>
  <si>
    <t>City</t>
  </si>
  <si>
    <t>Designation</t>
  </si>
  <si>
    <t>Department</t>
  </si>
  <si>
    <t>Employee Name</t>
  </si>
  <si>
    <t>Employee ID</t>
  </si>
  <si>
    <t xml:space="preserve"> </t>
  </si>
  <si>
    <t>Q2 – Employee Salary Analysis</t>
  </si>
  <si>
    <t>Highest Net Salary</t>
  </si>
  <si>
    <t>Lowest Net Salary</t>
  </si>
  <si>
    <t>Average Net Salary</t>
  </si>
  <si>
    <t>Salary Expenditure</t>
  </si>
  <si>
    <t>Average Salary</t>
  </si>
  <si>
    <t>Employee Count</t>
  </si>
  <si>
    <t>Average of Net Salary</t>
  </si>
  <si>
    <t>Count of Employee ID</t>
  </si>
  <si>
    <t>Department-wise Emoloyee count and 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</si>
</sst>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1" x14ac:knownFonts="1">
    <font>
      <sz val="11"/>
      <color theme="1"/>
      <name val="Aptos Narrow"/>
      <family val="2"/>
      <scheme val="minor"/>
    </font>
    <font>
      <sz val="12"/>
      <color theme="1"/>
      <name val="Book Antiqua"/>
      <family val="1"/>
    </font>
    <font>
      <sz val="12"/>
      <color rgb="FFFFFFFF"/>
      <name val="Arial Black"/>
      <family val="2"/>
    </font>
    <font>
      <sz val="12"/>
      <color theme="1"/>
      <name val="Arial Black"/>
      <family val="2"/>
    </font>
    <font>
      <b/>
      <sz val="11"/>
      <name val="Calibri"/>
      <family val="2"/>
    </font>
    <font>
      <sz val="11"/>
      <name val="Bookman Old Style"/>
      <family val="1"/>
    </font>
    <font>
      <sz val="11"/>
      <color theme="1"/>
      <name val="Bookman Old Style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sz val="12"/>
      <name val="Arial Black"/>
      <family val="2"/>
    </font>
    <font>
      <sz val="12"/>
      <name val="Arial Black"/>
      <family val="2"/>
    </font>
    <font>
      <b/>
      <sz val="11"/>
      <color theme="0"/>
      <name val="Calibri"/>
      <family val="2"/>
    </font>
    <font>
      <sz val="12"/>
      <color theme="1"/>
      <name val="Bookman Old Style"/>
      <family val="1"/>
    </font>
    <font>
      <sz val="14"/>
      <color theme="1"/>
      <name val="Book Antiqua"/>
      <family val="1"/>
    </font>
    <font>
      <sz val="14"/>
      <name val="Book Antiqua"/>
      <family val="1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b/>
      <sz val="14"/>
      <color theme="0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  <xf numFmtId="0" fontId="10" fillId="0" borderId="0" xfId="0" applyFont="1"/>
    <xf numFmtId="0" fontId="9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5" borderId="0" xfId="0" applyFont="1" applyFill="1" applyAlignment="1"/>
    <xf numFmtId="0" fontId="12" fillId="0" borderId="0" xfId="0" applyFont="1"/>
    <xf numFmtId="0" fontId="17" fillId="5" borderId="0" xfId="0" applyFont="1" applyFill="1" applyAlignment="1"/>
    <xf numFmtId="0" fontId="18" fillId="0" borderId="0" xfId="0" applyFont="1"/>
    <xf numFmtId="0" fontId="19" fillId="0" borderId="0" xfId="0" applyFont="1"/>
    <xf numFmtId="0" fontId="15" fillId="0" borderId="1" xfId="0" pivotButton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NumberFormat="1" applyFont="1" applyBorder="1" applyAlignment="1">
      <alignment horizontal="center"/>
    </xf>
    <xf numFmtId="0" fontId="14" fillId="4" borderId="1" xfId="0" applyFont="1" applyFill="1" applyBorder="1"/>
    <xf numFmtId="164" fontId="13" fillId="0" borderId="1" xfId="0" applyNumberFormat="1" applyFont="1" applyBorder="1"/>
    <xf numFmtId="0" fontId="15" fillId="3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102">
    <dxf>
      <fill>
        <patternFill patternType="solid">
          <f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4"/>
        <color auto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fill>
        <patternFill patternType="solid">
          <fgColor indexed="64"/>
          <bgColor rgb="FF5B9BD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EB9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font>
        <name val="Book Antiqua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2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ook Antiqua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87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Practical Practice.xlsx]Q1. Summary!PivotTable2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i="0" u="sng"/>
              <a:t>Trade</a:t>
            </a:r>
            <a:r>
              <a:rPr lang="en-IN" i="0" u="sng" baseline="0"/>
              <a:t>-wise Average Percentage</a:t>
            </a:r>
            <a:endParaRPr lang="en-IN" i="0" u="sng"/>
          </a:p>
        </c:rich>
      </c:tx>
      <c:layout>
        <c:manualLayout>
          <c:xMode val="edge"/>
          <c:yMode val="edge"/>
          <c:x val="0.15607463094262539"/>
          <c:y val="0.10383817540048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'Q1. Summary'!$E$1</c:f>
              <c:strCache>
                <c:ptCount val="1"/>
                <c:pt idx="0">
                  <c:v>Average of 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'Q1. Summary'!$D$2:$D$7</c:f>
              <c:strCache>
                <c:ptCount val="5"/>
                <c:pt idx="0">
                  <c:v>AIPA</c:v>
                </c:pt>
                <c:pt idx="1">
                  <c:v>COPA</c:v>
                </c:pt>
                <c:pt idx="2">
                  <c:v>Electrician</c:v>
                </c:pt>
                <c:pt idx="3">
                  <c:v>Fitter</c:v>
                </c:pt>
                <c:pt idx="4">
                  <c:v>Welder</c:v>
                </c:pt>
              </c:strCache>
            </c:strRef>
          </c:cat>
          <c:val>
            <c:numRef>
              <c:f>'Q1. Summary'!$E$2:$E$7</c:f>
              <c:numCache>
                <c:formatCode>0.00</c:formatCode>
                <c:ptCount val="5"/>
                <c:pt idx="0">
                  <c:v>81.052631578947384</c:v>
                </c:pt>
                <c:pt idx="1">
                  <c:v>78.421052631578945</c:v>
                </c:pt>
                <c:pt idx="2">
                  <c:v>80</c:v>
                </c:pt>
                <c:pt idx="3">
                  <c:v>78.421052631578959</c:v>
                </c:pt>
                <c:pt idx="4">
                  <c:v>74.21052631578948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2-4B17-9661-B462B3B0CB5B}"/>
            </c:ext>
          </c:extLst>
        </c:ser>
        <c:ser>
          <c:idx val="1"/>
          <c:order val="1"/>
          <c:tx>
            <c:strRef>
              <c:f>'Q1. Summary'!$F$1</c:f>
              <c:strCache>
                <c:ptCount val="1"/>
                <c:pt idx="0">
                  <c:v>Count of Roll No.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'Q1. Summary'!$D$2:$D$7</c:f>
              <c:strCache>
                <c:ptCount val="5"/>
                <c:pt idx="0">
                  <c:v>AIPA</c:v>
                </c:pt>
                <c:pt idx="1">
                  <c:v>COPA</c:v>
                </c:pt>
                <c:pt idx="2">
                  <c:v>Electrician</c:v>
                </c:pt>
                <c:pt idx="3">
                  <c:v>Fitter</c:v>
                </c:pt>
                <c:pt idx="4">
                  <c:v>Welder</c:v>
                </c:pt>
              </c:strCache>
            </c:strRef>
          </c:cat>
          <c:val>
            <c:numRef>
              <c:f>'Q1. Summary'!$F$2:$F$7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0A-43B7-AEAA-D82221B1A6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24190015"/>
        <c:axId val="1526371407"/>
      </c:barChart>
      <c:catAx>
        <c:axId val="162419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71407"/>
        <c:crosses val="autoZero"/>
        <c:auto val="1"/>
        <c:lblAlgn val="ctr"/>
        <c:lblOffset val="100"/>
        <c:noMultiLvlLbl val="0"/>
      </c:catAx>
      <c:valAx>
        <c:axId val="15263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9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sng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>
                <a:latin typeface="Book Antiqua" panose="02040602050305030304" pitchFamily="18" charset="0"/>
              </a:rPr>
              <a:t>Department</a:t>
            </a:r>
            <a:r>
              <a:rPr lang="en-IN" u="sng" baseline="0">
                <a:latin typeface="Book Antiqua" panose="02040602050305030304" pitchFamily="18" charset="0"/>
              </a:rPr>
              <a:t>-wise Salary Expenditure</a:t>
            </a:r>
            <a:endParaRPr lang="en-IN" u="sng">
              <a:latin typeface="Book Antiqua" panose="02040602050305030304" pitchFamily="18" charset="0"/>
            </a:endParaRPr>
          </a:p>
        </c:rich>
      </c:tx>
      <c:layout>
        <c:manualLayout>
          <c:xMode val="edge"/>
          <c:yMode val="edge"/>
          <c:x val="0.2396940760869222"/>
          <c:y val="1.761338373072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-90"/>
      <c:rotY val="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738180054574244E-2"/>
          <c:y val="0.13926916384690724"/>
          <c:w val="0.85077810286000088"/>
          <c:h val="0.7969060357876219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'Q2. Summary'!$B$8</c:f>
              <c:strCache>
                <c:ptCount val="1"/>
                <c:pt idx="0">
                  <c:v>Employee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'Q2. Summary'!$A$9:$A$13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</c:strCache>
            </c:strRef>
          </c:cat>
          <c:val>
            <c:numRef>
              <c:f>'Q2. Summary'!$B$9:$B$13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F-4C10-A356-0B101CAD75B3}"/>
            </c:ext>
          </c:extLst>
        </c:ser>
        <c:ser>
          <c:idx val="2"/>
          <c:order val="2"/>
          <c:tx>
            <c:strRef>
              <c:f>'Q2. Summary'!$D$8</c:f>
              <c:strCache>
                <c:ptCount val="1"/>
                <c:pt idx="0">
                  <c:v>Salary Expenditure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'Q2. Summary'!$A$9:$A$13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Operations</c:v>
                </c:pt>
              </c:strCache>
            </c:strRef>
          </c:cat>
          <c:val>
            <c:numRef>
              <c:f>'Q2. Summary'!$D$9:$D$13</c:f>
              <c:numCache>
                <c:formatCode>\₹#,##0</c:formatCode>
                <c:ptCount val="5"/>
                <c:pt idx="0">
                  <c:v>352943</c:v>
                </c:pt>
                <c:pt idx="1">
                  <c:v>357828</c:v>
                </c:pt>
                <c:pt idx="2">
                  <c:v>363912</c:v>
                </c:pt>
                <c:pt idx="3">
                  <c:v>349406</c:v>
                </c:pt>
                <c:pt idx="4">
                  <c:v>328134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F-4C10-A356-0B101CAD75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gapDepth val="14"/>
        <c:shape val="box"/>
        <c:axId val="849570416"/>
        <c:axId val="919811216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'Q2. Summary'!$C$8</c15:sqref>
                        </c15:formulaRef>
                      </c:ext>
                    </c:extLst>
                    <c:strCache>
                      <c:ptCount val="1"/>
                      <c:pt idx="0">
                        <c:v>Average Salary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cap="none" spc="0" baseline="0">
                          <a:ln w="0"/>
                          <a:solidFill>
                            <a:schemeClr val="tx1"/>
                          </a:solidFill>
                          <a:effectLst>
                            <a:outerShdw blurRad="38100" dist="19050" dir="2700000" algn="tl" rotWithShape="0">
                              <a:schemeClr val="dk1">
                                <a:alpha val="40000"/>
                              </a:schemeClr>
                            </a:outerShdw>
                          </a:effectLst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'Q2. Summary'!$A$9:$A$13</c15:sqref>
                        </c15:formulaRef>
                      </c:ext>
                    </c:extLst>
                    <c:strCache>
                      <c:ptCount val="5"/>
                      <c:pt idx="0">
                        <c:v>IT</c:v>
                      </c:pt>
                      <c:pt idx="1">
                        <c:v>HR</c:v>
                      </c:pt>
                      <c:pt idx="2">
                        <c:v>Finance</c:v>
                      </c:pt>
                      <c:pt idx="3">
                        <c:v>Sales</c:v>
                      </c:pt>
                      <c:pt idx="4">
                        <c:v>Operations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'Q2. Summary'!$C$9:$C$13</c15:sqref>
                        </c15:formulaRef>
                      </c:ext>
                    </c:extLst>
                    <c:numCache>
                      <c:formatCode>\₹#,##0</c:formatCode>
                      <c:ptCount val="5"/>
                      <c:pt idx="0">
                        <c:v>58823.833333333336</c:v>
                      </c:pt>
                      <c:pt idx="1">
                        <c:v>59638</c:v>
                      </c:pt>
                      <c:pt idx="2">
                        <c:v>60652</c:v>
                      </c:pt>
                      <c:pt idx="3">
                        <c:v>58234.333333333336</c:v>
                      </c:pt>
                      <c:pt idx="4">
                        <c:v>54689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16F-4C10-A356-0B101CAD75B3}"/>
                  </c:ext>
                </c:extLst>
              </c15:ser>
            </c15:filteredBarSeries>
          </c:ext>
        </c:extLst>
      </c:bar3DChart>
      <c:catAx>
        <c:axId val="84957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1216"/>
        <c:crosses val="autoZero"/>
        <c:auto val="1"/>
        <c:lblAlgn val="ctr"/>
        <c:lblOffset val="100"/>
        <c:noMultiLvlLbl val="0"/>
      </c:catAx>
      <c:valAx>
        <c:axId val="9198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57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9</xdr:row>
      <xdr:rowOff>19051</xdr:rowOff>
    </xdr:from>
    <xdr:to>
      <xdr:col>7</xdr:col>
      <xdr:colOff>28575</xdr:colOff>
      <xdr:row>23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06290A-D1D9-4FEF-84C6-2F63781B5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14</xdr:row>
      <xdr:rowOff>42861</xdr:rowOff>
    </xdr:from>
    <xdr:to>
      <xdr:col>3</xdr:col>
      <xdr:colOff>1714499</xdr:colOff>
      <xdr:row>33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21ED73-5A44-0256-7BA1-B92B1E042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hush\Downloads\Excel_Practical_Complete_Ready.xlsx" TargetMode="External"/><Relationship Id="rId1" Type="http://schemas.openxmlformats.org/officeDocument/2006/relationships/externalLinkPath" Target="Excel_Practical_Complete_Rea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Q1_Students"/>
      <sheetName val="Q1_Summary"/>
      <sheetName val="Q2_Employees"/>
      <sheetName val="Q2_Summary"/>
    </sheetNames>
    <sheetDataSet>
      <sheetData sheetId="0"/>
      <sheetData sheetId="1"/>
      <sheetData sheetId="2"/>
      <sheetData sheetId="3">
        <row r="2">
          <cell r="C2" t="str">
            <v>IT</v>
          </cell>
          <cell r="J2">
            <v>41022</v>
          </cell>
        </row>
        <row r="3">
          <cell r="C3" t="str">
            <v>HR</v>
          </cell>
          <cell r="J3">
            <v>52648</v>
          </cell>
        </row>
        <row r="4">
          <cell r="C4" t="str">
            <v>Finance</v>
          </cell>
          <cell r="J4">
            <v>73836</v>
          </cell>
        </row>
        <row r="5">
          <cell r="C5" t="str">
            <v>Sales</v>
          </cell>
          <cell r="J5">
            <v>52935</v>
          </cell>
        </row>
        <row r="6">
          <cell r="C6" t="str">
            <v>Operations</v>
          </cell>
          <cell r="J6">
            <v>63955</v>
          </cell>
        </row>
        <row r="7">
          <cell r="C7" t="str">
            <v>IT</v>
          </cell>
          <cell r="J7">
            <v>56836</v>
          </cell>
        </row>
        <row r="8">
          <cell r="C8" t="str">
            <v>HR</v>
          </cell>
          <cell r="J8">
            <v>61960</v>
          </cell>
        </row>
        <row r="9">
          <cell r="C9" t="str">
            <v>Finance</v>
          </cell>
          <cell r="J9">
            <v>73346</v>
          </cell>
        </row>
        <row r="10">
          <cell r="C10" t="str">
            <v>Sales</v>
          </cell>
          <cell r="J10">
            <v>44445</v>
          </cell>
        </row>
        <row r="11">
          <cell r="C11" t="str">
            <v>Operations</v>
          </cell>
          <cell r="J11">
            <v>43170</v>
          </cell>
        </row>
        <row r="12">
          <cell r="C12" t="str">
            <v>IT</v>
          </cell>
          <cell r="J12">
            <v>61331</v>
          </cell>
        </row>
        <row r="13">
          <cell r="C13" t="str">
            <v>HR</v>
          </cell>
          <cell r="J13">
            <v>78223</v>
          </cell>
        </row>
        <row r="14">
          <cell r="C14" t="str">
            <v>Finance</v>
          </cell>
          <cell r="J14">
            <v>61766</v>
          </cell>
        </row>
        <row r="15">
          <cell r="C15" t="str">
            <v>Sales</v>
          </cell>
          <cell r="J15">
            <v>49834</v>
          </cell>
        </row>
        <row r="16">
          <cell r="C16" t="str">
            <v>Operations</v>
          </cell>
          <cell r="J16">
            <v>39145</v>
          </cell>
        </row>
        <row r="17">
          <cell r="C17" t="str">
            <v>IT</v>
          </cell>
          <cell r="J17">
            <v>72131</v>
          </cell>
        </row>
        <row r="18">
          <cell r="C18" t="str">
            <v>HR</v>
          </cell>
          <cell r="J18">
            <v>60238</v>
          </cell>
        </row>
        <row r="19">
          <cell r="C19" t="str">
            <v>Finance</v>
          </cell>
          <cell r="J19">
            <v>40464</v>
          </cell>
        </row>
        <row r="20">
          <cell r="C20" t="str">
            <v>Sales</v>
          </cell>
          <cell r="J20">
            <v>78940</v>
          </cell>
        </row>
        <row r="21">
          <cell r="C21" t="str">
            <v>Operations</v>
          </cell>
          <cell r="J21">
            <v>53429</v>
          </cell>
        </row>
        <row r="22">
          <cell r="C22" t="str">
            <v>IT</v>
          </cell>
          <cell r="J22">
            <v>41473</v>
          </cell>
        </row>
        <row r="23">
          <cell r="C23" t="str">
            <v>HR</v>
          </cell>
          <cell r="J23">
            <v>60951</v>
          </cell>
        </row>
        <row r="24">
          <cell r="C24" t="str">
            <v>Finance</v>
          </cell>
          <cell r="J24">
            <v>72948</v>
          </cell>
        </row>
        <row r="25">
          <cell r="C25" t="str">
            <v>Sales</v>
          </cell>
          <cell r="J25">
            <v>52720</v>
          </cell>
        </row>
        <row r="26">
          <cell r="C26" t="str">
            <v>Operations</v>
          </cell>
          <cell r="J26">
            <v>65792</v>
          </cell>
        </row>
        <row r="27">
          <cell r="C27" t="str">
            <v>IT</v>
          </cell>
          <cell r="J27">
            <v>80150</v>
          </cell>
        </row>
        <row r="28">
          <cell r="C28" t="str">
            <v>HR</v>
          </cell>
          <cell r="J28">
            <v>43808</v>
          </cell>
        </row>
        <row r="29">
          <cell r="C29" t="str">
            <v>Finance</v>
          </cell>
          <cell r="J29">
            <v>41552</v>
          </cell>
        </row>
        <row r="30">
          <cell r="C30" t="str">
            <v>Sales</v>
          </cell>
          <cell r="J30">
            <v>70532</v>
          </cell>
        </row>
        <row r="31">
          <cell r="C31" t="str">
            <v>Operations</v>
          </cell>
          <cell r="J31">
            <v>62643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aurya" refreshedDate="46282.412172916665" createdVersion="8" refreshedVersion="8" minRefreshableVersion="3" recordCount="30" xr:uid="{4629E24C-3DC7-489B-9576-9B844D328148}">
  <cacheSource type="worksheet">
    <worksheetSource name="Table2"/>
  </cacheSource>
  <cacheFields count="12">
    <cacheField name="Roll No." numFmtId="0">
      <sharedItems containsSemiMixedTypes="0" containsString="0" containsNumber="1" containsInteger="1" minValue="1" maxValue="30"/>
    </cacheField>
    <cacheField name="Student Name" numFmtId="0">
      <sharedItems count="30">
        <s v="Aarav"/>
        <s v="Ananya"/>
        <s v="Aditya"/>
        <s v="Anjali"/>
        <s v="Ayush"/>
        <s v="Bhavna"/>
        <s v="Chandan"/>
        <s v="Deepak"/>
        <s v="Diya"/>
        <s v="Harsh"/>
        <s v="Isha"/>
        <s v="Karan"/>
        <s v="Kavya"/>
        <s v="Manish"/>
        <s v="Meera"/>
        <s v="Mohit"/>
        <s v="Nandini"/>
        <s v="Neha"/>
        <s v="Nikhil"/>
        <s v="Pallavi"/>
        <s v="Priya"/>
        <s v="Rahul"/>
        <s v="Riya"/>
        <s v="Rohan"/>
        <s v="Sakshi"/>
        <s v="Shivam"/>
        <s v="Simran"/>
        <s v="Tanmay"/>
        <s v="Vansh"/>
        <s v="Yash"/>
      </sharedItems>
    </cacheField>
    <cacheField name="Trade" numFmtId="0">
      <sharedItems count="5">
        <s v="AIPA"/>
        <s v="COPA"/>
        <s v="Electrician"/>
        <s v="Fitter"/>
        <s v="Welder"/>
      </sharedItems>
    </cacheField>
    <cacheField name="Gender" numFmtId="0">
      <sharedItems/>
    </cacheField>
    <cacheField name="Attendance %" numFmtId="1">
      <sharedItems containsSemiMixedTypes="0" containsString="0" containsNumber="1" containsInteger="1" minValue="72" maxValue="98"/>
    </cacheField>
    <cacheField name="Internal Marks" numFmtId="0">
      <sharedItems containsSemiMixedTypes="0" containsString="0" containsNumber="1" containsInteger="1" minValue="14" maxValue="25"/>
    </cacheField>
    <cacheField name="Practical Marks" numFmtId="0">
      <sharedItems containsSemiMixedTypes="0" containsString="0" containsNumber="1" containsInteger="1" minValue="18" maxValue="29"/>
    </cacheField>
    <cacheField name="Theory Marks" numFmtId="0">
      <sharedItems containsSemiMixedTypes="0" containsString="0" containsNumber="1" containsInteger="1" minValue="20" maxValue="39"/>
    </cacheField>
    <cacheField name="Total Marks" numFmtId="0">
      <sharedItems containsSemiMixedTypes="0" containsString="0" containsNumber="1" containsInteger="1" minValue="54" maxValue="89"/>
    </cacheField>
    <cacheField name="Percentage" numFmtId="2">
      <sharedItems containsSemiMixedTypes="0" containsString="0" containsNumber="1" minValue="56.84210526315789" maxValue="93.684210526315795"/>
    </cacheField>
    <cacheField name="Grade" numFmtId="0">
      <sharedItems count="4">
        <s v="A"/>
        <s v="B"/>
        <s v="D"/>
        <s v="C"/>
      </sharedItems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Maurya" refreshedDate="46282.488154166669" createdVersion="8" refreshedVersion="8" minRefreshableVersion="3" recordCount="30" xr:uid="{CA4D1259-92A0-413C-B6CD-9C13AAF605BD}">
  <cacheSource type="worksheet">
    <worksheetSource name="EmployeeData"/>
  </cacheSource>
  <cacheFields count="11">
    <cacheField name="Employee ID" numFmtId="0">
      <sharedItems count="3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</sharedItems>
    </cacheField>
    <cacheField name="Employee Name" numFmtId="0">
      <sharedItems count="30">
        <s v="Amit"/>
        <s v="Pooja"/>
        <s v="Vikas"/>
        <s v="Neha"/>
        <s v="Ravi"/>
        <s v="Sneha"/>
        <s v="Arjun"/>
        <s v="Komal"/>
        <s v="Suresh"/>
        <s v="Nisha"/>
        <s v="Vivek"/>
        <s v="Payal"/>
        <s v="Rohit"/>
        <s v="Shreya"/>
        <s v="Manoj"/>
        <s v="Kritika"/>
        <s v="Akash"/>
        <s v="Preeti"/>
        <s v="Gaurav"/>
        <s v="Rashmi"/>
        <s v="Varun"/>
        <s v="Aarti"/>
        <s v="Nitin"/>
        <s v="Swati"/>
        <s v="Ankit"/>
        <s v="Muskan"/>
        <s v="Deepak"/>
        <s v="Tanya"/>
        <s v="Raj"/>
        <s v="Simran"/>
      </sharedItems>
    </cacheField>
    <cacheField name="Department" numFmtId="0">
      <sharedItems count="5">
        <s v="IT"/>
        <s v="HR"/>
        <s v="Finance"/>
        <s v="Sales"/>
        <s v="Operations"/>
      </sharedItems>
    </cacheField>
    <cacheField name="Designation" numFmtId="0">
      <sharedItems count="5">
        <s v="Executive"/>
        <s v="Assistant"/>
        <s v="Analyst"/>
        <s v="Officer"/>
        <s v="Supervisor"/>
      </sharedItems>
    </cacheField>
    <cacheField name="City" numFmtId="0">
      <sharedItems/>
    </cacheField>
    <cacheField name="Basic Salary" numFmtId="164">
      <sharedItems containsSemiMixedTypes="0" containsString="0" containsNumber="1" containsInteger="1" minValue="28241" maxValue="64918"/>
    </cacheField>
    <cacheField name="HRA" numFmtId="164">
      <sharedItems containsSemiMixedTypes="0" containsString="0" containsNumber="1" containsInteger="1" minValue="5648" maxValue="12984"/>
    </cacheField>
    <cacheField name="Allowance" numFmtId="164">
      <sharedItems containsSemiMixedTypes="0" containsString="0" containsNumber="1" containsInteger="1" minValue="2195" maxValue="8491"/>
    </cacheField>
    <cacheField name="Deduction" numFmtId="164">
      <sharedItems containsSemiMixedTypes="0" containsString="0" containsNumber="1" containsInteger="1" minValue="1027" maxValue="4927"/>
    </cacheField>
    <cacheField name="Net Salary" numFmtId="164">
      <sharedItems containsSemiMixedTypes="0" containsString="0" containsNumber="1" containsInteger="1" minValue="39145" maxValue="80150"/>
    </cacheField>
    <cacheField name="Experience (Years)" numFmtId="0">
      <sharedItems containsSemiMixedTypes="0" containsString="0" containsNumber="1" containsInteger="1" minValue="1" maxValue="12" count="10">
        <n v="6"/>
        <n v="8"/>
        <n v="9"/>
        <n v="12"/>
        <n v="5"/>
        <n v="1"/>
        <n v="10"/>
        <n v="4"/>
        <n v="3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s v="Male"/>
    <n v="87"/>
    <n v="18"/>
    <n v="28"/>
    <n v="36"/>
    <n v="82"/>
    <n v="86.31578947368422"/>
    <x v="0"/>
    <s v="Pass"/>
  </r>
  <r>
    <n v="2"/>
    <x v="1"/>
    <x v="1"/>
    <s v="Female"/>
    <n v="93"/>
    <n v="19"/>
    <n v="20"/>
    <n v="32"/>
    <n v="71"/>
    <n v="74.73684210526315"/>
    <x v="1"/>
    <s v="Pass"/>
  </r>
  <r>
    <n v="3"/>
    <x v="2"/>
    <x v="2"/>
    <s v="Male"/>
    <n v="72"/>
    <n v="19"/>
    <n v="25"/>
    <n v="28"/>
    <n v="72"/>
    <n v="75.789473684210535"/>
    <x v="1"/>
    <s v="Fail"/>
  </r>
  <r>
    <n v="4"/>
    <x v="3"/>
    <x v="3"/>
    <s v="Female"/>
    <n v="92"/>
    <n v="21"/>
    <n v="29"/>
    <n v="39"/>
    <n v="89"/>
    <n v="93.684210526315795"/>
    <x v="0"/>
    <s v="Pass"/>
  </r>
  <r>
    <n v="5"/>
    <x v="4"/>
    <x v="4"/>
    <s v="Male"/>
    <n v="79"/>
    <n v="22"/>
    <n v="18"/>
    <n v="39"/>
    <n v="79"/>
    <n v="83.15789473684211"/>
    <x v="0"/>
    <s v="Pass"/>
  </r>
  <r>
    <n v="6"/>
    <x v="5"/>
    <x v="0"/>
    <s v="Female"/>
    <n v="76"/>
    <n v="21"/>
    <n v="23"/>
    <n v="25"/>
    <n v="69"/>
    <n v="72.631578947368425"/>
    <x v="1"/>
    <s v="Pass"/>
  </r>
  <r>
    <n v="7"/>
    <x v="6"/>
    <x v="1"/>
    <s v="Male"/>
    <n v="82"/>
    <n v="17"/>
    <n v="18"/>
    <n v="38"/>
    <n v="73"/>
    <n v="76.84210526315789"/>
    <x v="1"/>
    <s v="Pass"/>
  </r>
  <r>
    <n v="8"/>
    <x v="7"/>
    <x v="2"/>
    <s v="Female"/>
    <n v="98"/>
    <n v="17"/>
    <n v="19"/>
    <n v="36"/>
    <n v="72"/>
    <n v="75.789473684210535"/>
    <x v="1"/>
    <s v="Pass"/>
  </r>
  <r>
    <n v="9"/>
    <x v="8"/>
    <x v="3"/>
    <s v="Male"/>
    <n v="93"/>
    <n v="19"/>
    <n v="28"/>
    <n v="32"/>
    <n v="79"/>
    <n v="83.15789473684211"/>
    <x v="0"/>
    <s v="Pass"/>
  </r>
  <r>
    <n v="10"/>
    <x v="9"/>
    <x v="4"/>
    <s v="Female"/>
    <n v="97"/>
    <n v="15"/>
    <n v="18"/>
    <n v="21"/>
    <n v="54"/>
    <n v="56.84210526315789"/>
    <x v="2"/>
    <s v="Pass"/>
  </r>
  <r>
    <n v="11"/>
    <x v="10"/>
    <x v="0"/>
    <s v="Male"/>
    <n v="98"/>
    <n v="24"/>
    <n v="26"/>
    <n v="27"/>
    <n v="77"/>
    <n v="81.05263157894737"/>
    <x v="0"/>
    <s v="Pass"/>
  </r>
  <r>
    <n v="12"/>
    <x v="11"/>
    <x v="1"/>
    <s v="Female"/>
    <n v="74"/>
    <n v="20"/>
    <n v="25"/>
    <n v="23"/>
    <n v="68"/>
    <n v="71.578947368421055"/>
    <x v="1"/>
    <s v="Fail"/>
  </r>
  <r>
    <n v="13"/>
    <x v="12"/>
    <x v="2"/>
    <s v="Male"/>
    <n v="93"/>
    <n v="20"/>
    <n v="20"/>
    <n v="37"/>
    <n v="77"/>
    <n v="81.05263157894737"/>
    <x v="0"/>
    <s v="Pass"/>
  </r>
  <r>
    <n v="14"/>
    <x v="13"/>
    <x v="3"/>
    <s v="Female"/>
    <n v="82"/>
    <n v="23"/>
    <n v="26"/>
    <n v="25"/>
    <n v="74"/>
    <n v="77.89473684210526"/>
    <x v="1"/>
    <s v="Pass"/>
  </r>
  <r>
    <n v="15"/>
    <x v="14"/>
    <x v="4"/>
    <s v="Male"/>
    <n v="94"/>
    <n v="14"/>
    <n v="26"/>
    <n v="25"/>
    <n v="65"/>
    <n v="68.421052631578945"/>
    <x v="3"/>
    <s v="Pass"/>
  </r>
  <r>
    <n v="16"/>
    <x v="15"/>
    <x v="0"/>
    <s v="Female"/>
    <n v="88"/>
    <n v="15"/>
    <n v="24"/>
    <n v="39"/>
    <n v="78"/>
    <n v="82.10526315789474"/>
    <x v="0"/>
    <s v="Pass"/>
  </r>
  <r>
    <n v="17"/>
    <x v="16"/>
    <x v="1"/>
    <s v="Male"/>
    <n v="85"/>
    <n v="24"/>
    <n v="27"/>
    <n v="35"/>
    <n v="86"/>
    <n v="90.526315789473685"/>
    <x v="0"/>
    <s v="Pass"/>
  </r>
  <r>
    <n v="18"/>
    <x v="17"/>
    <x v="2"/>
    <s v="Female"/>
    <n v="87"/>
    <n v="23"/>
    <n v="24"/>
    <n v="37"/>
    <n v="84"/>
    <n v="88.421052631578945"/>
    <x v="0"/>
    <s v="Pass"/>
  </r>
  <r>
    <n v="19"/>
    <x v="18"/>
    <x v="3"/>
    <s v="Male"/>
    <n v="72"/>
    <n v="24"/>
    <n v="29"/>
    <n v="22"/>
    <n v="75"/>
    <n v="78.94736842105263"/>
    <x v="1"/>
    <s v="Fail"/>
  </r>
  <r>
    <n v="20"/>
    <x v="19"/>
    <x v="4"/>
    <s v="Female"/>
    <n v="78"/>
    <n v="24"/>
    <n v="22"/>
    <n v="31"/>
    <n v="77"/>
    <n v="81.05263157894737"/>
    <x v="0"/>
    <s v="Pass"/>
  </r>
  <r>
    <n v="21"/>
    <x v="20"/>
    <x v="0"/>
    <s v="Male"/>
    <n v="83"/>
    <n v="25"/>
    <n v="24"/>
    <n v="29"/>
    <n v="78"/>
    <n v="82.10526315789474"/>
    <x v="0"/>
    <s v="Pass"/>
  </r>
  <r>
    <n v="22"/>
    <x v="21"/>
    <x v="1"/>
    <s v="Female"/>
    <n v="75"/>
    <n v="18"/>
    <n v="21"/>
    <n v="30"/>
    <n v="69"/>
    <n v="72.631578947368425"/>
    <x v="1"/>
    <s v="Pass"/>
  </r>
  <r>
    <n v="23"/>
    <x v="22"/>
    <x v="2"/>
    <s v="Male"/>
    <n v="83"/>
    <n v="19"/>
    <n v="26"/>
    <n v="38"/>
    <n v="83"/>
    <n v="87.368421052631589"/>
    <x v="0"/>
    <s v="Pass"/>
  </r>
  <r>
    <n v="24"/>
    <x v="23"/>
    <x v="3"/>
    <s v="Female"/>
    <n v="97"/>
    <n v="22"/>
    <n v="20"/>
    <n v="20"/>
    <n v="62"/>
    <n v="65.26315789473685"/>
    <x v="3"/>
    <s v="Pass"/>
  </r>
  <r>
    <n v="25"/>
    <x v="24"/>
    <x v="4"/>
    <s v="Male"/>
    <n v="84"/>
    <n v="20"/>
    <n v="18"/>
    <n v="36"/>
    <n v="74"/>
    <n v="77.89473684210526"/>
    <x v="1"/>
    <s v="Pass"/>
  </r>
  <r>
    <n v="26"/>
    <x v="25"/>
    <x v="0"/>
    <s v="Female"/>
    <n v="72"/>
    <n v="17"/>
    <n v="28"/>
    <n v="33"/>
    <n v="78"/>
    <n v="82.10526315789474"/>
    <x v="0"/>
    <s v="Fail"/>
  </r>
  <r>
    <n v="27"/>
    <x v="26"/>
    <x v="1"/>
    <s v="Male"/>
    <n v="73"/>
    <n v="20"/>
    <n v="21"/>
    <n v="39"/>
    <n v="80"/>
    <n v="84.210526315789465"/>
    <x v="0"/>
    <s v="Fail"/>
  </r>
  <r>
    <n v="28"/>
    <x v="27"/>
    <x v="2"/>
    <s v="Female"/>
    <n v="75"/>
    <n v="22"/>
    <n v="21"/>
    <n v="25"/>
    <n v="68"/>
    <n v="71.578947368421055"/>
    <x v="1"/>
    <s v="Pass"/>
  </r>
  <r>
    <n v="29"/>
    <x v="28"/>
    <x v="3"/>
    <s v="Male"/>
    <n v="74"/>
    <n v="25"/>
    <n v="22"/>
    <n v="21"/>
    <n v="68"/>
    <n v="71.578947368421055"/>
    <x v="1"/>
    <s v="Fail"/>
  </r>
  <r>
    <n v="30"/>
    <x v="29"/>
    <x v="4"/>
    <s v="Female"/>
    <n v="85"/>
    <n v="18"/>
    <n v="25"/>
    <n v="31"/>
    <n v="74"/>
    <n v="77.89473684210526"/>
    <x v="1"/>
    <s v="Pas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s v="Prayagraj"/>
    <n v="31411"/>
    <n v="6282"/>
    <n v="6210"/>
    <n v="2881"/>
    <n v="41022"/>
    <x v="0"/>
  </r>
  <r>
    <x v="1"/>
    <x v="1"/>
    <x v="1"/>
    <x v="1"/>
    <s v="Lucknow"/>
    <n v="41683"/>
    <n v="8337"/>
    <n v="4782"/>
    <n v="2154"/>
    <n v="52648"/>
    <x v="1"/>
  </r>
  <r>
    <x v="2"/>
    <x v="2"/>
    <x v="2"/>
    <x v="2"/>
    <s v="Varanasi"/>
    <n v="59212"/>
    <n v="11842"/>
    <n v="7709"/>
    <n v="4927"/>
    <n v="73836"/>
    <x v="1"/>
  </r>
  <r>
    <x v="3"/>
    <x v="3"/>
    <x v="3"/>
    <x v="3"/>
    <s v="Kanpur"/>
    <n v="43722"/>
    <n v="8744"/>
    <n v="3372"/>
    <n v="2903"/>
    <n v="52935"/>
    <x v="2"/>
  </r>
  <r>
    <x v="4"/>
    <x v="4"/>
    <x v="4"/>
    <x v="4"/>
    <s v="Noida"/>
    <n v="51867"/>
    <n v="10373"/>
    <n v="3490"/>
    <n v="1775"/>
    <n v="63955"/>
    <x v="3"/>
  </r>
  <r>
    <x v="5"/>
    <x v="5"/>
    <x v="0"/>
    <x v="0"/>
    <s v="Prayagraj"/>
    <n v="42410"/>
    <n v="8482"/>
    <n v="6971"/>
    <n v="1027"/>
    <n v="56836"/>
    <x v="4"/>
  </r>
  <r>
    <x v="6"/>
    <x v="6"/>
    <x v="1"/>
    <x v="1"/>
    <s v="Lucknow"/>
    <n v="50399"/>
    <n v="10080"/>
    <n v="3470"/>
    <n v="1989"/>
    <n v="61960"/>
    <x v="5"/>
  </r>
  <r>
    <x v="7"/>
    <x v="7"/>
    <x v="2"/>
    <x v="2"/>
    <s v="Varanasi"/>
    <n v="60860"/>
    <n v="12172"/>
    <n v="2327"/>
    <n v="2013"/>
    <n v="73346"/>
    <x v="6"/>
  </r>
  <r>
    <x v="8"/>
    <x v="8"/>
    <x v="3"/>
    <x v="3"/>
    <s v="Kanpur"/>
    <n v="35606"/>
    <n v="7121"/>
    <n v="4956"/>
    <n v="3238"/>
    <n v="44445"/>
    <x v="2"/>
  </r>
  <r>
    <x v="9"/>
    <x v="9"/>
    <x v="4"/>
    <x v="4"/>
    <s v="Noida"/>
    <n v="38145"/>
    <n v="7629"/>
    <n v="2195"/>
    <n v="4799"/>
    <n v="43170"/>
    <x v="0"/>
  </r>
  <r>
    <x v="10"/>
    <x v="10"/>
    <x v="0"/>
    <x v="0"/>
    <s v="Prayagraj"/>
    <n v="46313"/>
    <n v="9263"/>
    <n v="7238"/>
    <n v="1483"/>
    <n v="61331"/>
    <x v="7"/>
  </r>
  <r>
    <x v="11"/>
    <x v="11"/>
    <x v="1"/>
    <x v="1"/>
    <s v="Lucknow"/>
    <n v="62553"/>
    <n v="12511"/>
    <n v="6114"/>
    <n v="2955"/>
    <n v="78223"/>
    <x v="1"/>
  </r>
  <r>
    <x v="12"/>
    <x v="12"/>
    <x v="2"/>
    <x v="2"/>
    <s v="Varanasi"/>
    <n v="51182"/>
    <n v="10236"/>
    <n v="4151"/>
    <n v="3803"/>
    <n v="61766"/>
    <x v="1"/>
  </r>
  <r>
    <x v="13"/>
    <x v="13"/>
    <x v="3"/>
    <x v="3"/>
    <s v="Kanpur"/>
    <n v="38626"/>
    <n v="7725"/>
    <n v="5676"/>
    <n v="2193"/>
    <n v="49834"/>
    <x v="6"/>
  </r>
  <r>
    <x v="14"/>
    <x v="14"/>
    <x v="4"/>
    <x v="4"/>
    <s v="Noida"/>
    <n v="31014"/>
    <n v="6203"/>
    <n v="4279"/>
    <n v="2351"/>
    <n v="39145"/>
    <x v="2"/>
  </r>
  <r>
    <x v="15"/>
    <x v="15"/>
    <x v="0"/>
    <x v="0"/>
    <s v="Prayagraj"/>
    <n v="57169"/>
    <n v="11434"/>
    <n v="7772"/>
    <n v="4244"/>
    <n v="72131"/>
    <x v="7"/>
  </r>
  <r>
    <x v="16"/>
    <x v="16"/>
    <x v="1"/>
    <x v="1"/>
    <s v="Lucknow"/>
    <n v="46679"/>
    <n v="9336"/>
    <n v="6267"/>
    <n v="2044"/>
    <n v="60238"/>
    <x v="5"/>
  </r>
  <r>
    <x v="17"/>
    <x v="17"/>
    <x v="2"/>
    <x v="2"/>
    <s v="Varanasi"/>
    <n v="28241"/>
    <n v="5648"/>
    <n v="7686"/>
    <n v="1111"/>
    <n v="40464"/>
    <x v="8"/>
  </r>
  <r>
    <x v="18"/>
    <x v="18"/>
    <x v="3"/>
    <x v="3"/>
    <s v="Kanpur"/>
    <n v="64570"/>
    <n v="12914"/>
    <n v="4177"/>
    <n v="2721"/>
    <n v="78940"/>
    <x v="8"/>
  </r>
  <r>
    <x v="19"/>
    <x v="19"/>
    <x v="4"/>
    <x v="4"/>
    <s v="Noida"/>
    <n v="43809"/>
    <n v="8762"/>
    <n v="3640"/>
    <n v="2782"/>
    <n v="53429"/>
    <x v="1"/>
  </r>
  <r>
    <x v="20"/>
    <x v="20"/>
    <x v="0"/>
    <x v="0"/>
    <s v="Prayagraj"/>
    <n v="31852"/>
    <n v="6370"/>
    <n v="6586"/>
    <n v="3335"/>
    <n v="41473"/>
    <x v="6"/>
  </r>
  <r>
    <x v="21"/>
    <x v="21"/>
    <x v="1"/>
    <x v="1"/>
    <s v="Lucknow"/>
    <n v="44902"/>
    <n v="8980"/>
    <n v="8229"/>
    <n v="1160"/>
    <n v="60951"/>
    <x v="9"/>
  </r>
  <r>
    <x v="22"/>
    <x v="22"/>
    <x v="2"/>
    <x v="2"/>
    <s v="Varanasi"/>
    <n v="56257"/>
    <n v="11251"/>
    <n v="6820"/>
    <n v="1380"/>
    <n v="72948"/>
    <x v="9"/>
  </r>
  <r>
    <x v="23"/>
    <x v="23"/>
    <x v="3"/>
    <x v="3"/>
    <s v="Kanpur"/>
    <n v="41041"/>
    <n v="8208"/>
    <n v="6752"/>
    <n v="3281"/>
    <n v="52720"/>
    <x v="0"/>
  </r>
  <r>
    <x v="24"/>
    <x v="24"/>
    <x v="4"/>
    <x v="4"/>
    <s v="Noida"/>
    <n v="52148"/>
    <n v="10430"/>
    <n v="7227"/>
    <n v="4013"/>
    <n v="65792"/>
    <x v="9"/>
  </r>
  <r>
    <x v="25"/>
    <x v="25"/>
    <x v="0"/>
    <x v="0"/>
    <s v="Prayagraj"/>
    <n v="64918"/>
    <n v="12984"/>
    <n v="3318"/>
    <n v="1070"/>
    <n v="80150"/>
    <x v="3"/>
  </r>
  <r>
    <x v="26"/>
    <x v="26"/>
    <x v="1"/>
    <x v="1"/>
    <s v="Lucknow"/>
    <n v="38185"/>
    <n v="7637"/>
    <n v="2253"/>
    <n v="4267"/>
    <n v="43808"/>
    <x v="5"/>
  </r>
  <r>
    <x v="27"/>
    <x v="27"/>
    <x v="2"/>
    <x v="2"/>
    <s v="Varanasi"/>
    <n v="32783"/>
    <n v="6557"/>
    <n v="5403"/>
    <n v="3191"/>
    <n v="41552"/>
    <x v="7"/>
  </r>
  <r>
    <x v="28"/>
    <x v="28"/>
    <x v="3"/>
    <x v="3"/>
    <s v="Kanpur"/>
    <n v="52869"/>
    <n v="10574"/>
    <n v="8491"/>
    <n v="1402"/>
    <n v="70532"/>
    <x v="3"/>
  </r>
  <r>
    <x v="29"/>
    <x v="29"/>
    <x v="4"/>
    <x v="4"/>
    <s v="Noida"/>
    <n v="51145"/>
    <n v="10229"/>
    <n v="3547"/>
    <n v="2278"/>
    <n v="6264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EE38D-5EDF-4B22-83A8-CC27B9E306C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:F7" firstHeaderRow="0" firstDataRow="1" firstDataCol="1"/>
  <pivotFields count="12">
    <pivotField dataField="1" showAll="0"/>
    <pivotField showAll="0">
      <items count="31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" showAll="0"/>
    <pivotField showAll="0"/>
    <pivotField showAll="0"/>
    <pivotField showAll="0"/>
    <pivotField showAll="0"/>
    <pivotField dataField="1" numFmtId="2" showAll="0"/>
    <pivotField showAll="0">
      <items count="5">
        <item x="0"/>
        <item x="1"/>
        <item x="3"/>
        <item x="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centage" fld="9" subtotal="average" baseField="2" baseItem="3" numFmtId="2"/>
    <dataField name="Count of Roll No." fld="0" subtotal="count" baseField="0" baseItem="0"/>
  </dataFields>
  <formats count="11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chartFormats count="2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1E022-2322-41CD-B928-D2A32DA29C2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F3:H9" firstHeaderRow="0" firstDataRow="1" firstDataCol="1"/>
  <pivotFields count="11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>
      <items count="31">
        <item x="21"/>
        <item x="16"/>
        <item x="0"/>
        <item x="24"/>
        <item x="6"/>
        <item x="26"/>
        <item x="18"/>
        <item x="7"/>
        <item x="15"/>
        <item x="14"/>
        <item x="25"/>
        <item x="3"/>
        <item x="9"/>
        <item x="22"/>
        <item x="11"/>
        <item x="1"/>
        <item x="17"/>
        <item x="28"/>
        <item x="19"/>
        <item x="4"/>
        <item x="12"/>
        <item x="13"/>
        <item x="29"/>
        <item x="5"/>
        <item x="8"/>
        <item x="23"/>
        <item x="27"/>
        <item x="20"/>
        <item x="2"/>
        <item x="10"/>
        <item t="default"/>
      </items>
    </pivotField>
    <pivotField axis="axisRow" showAll="0">
      <items count="6">
        <item x="2"/>
        <item x="1"/>
        <item x="0"/>
        <item x="4"/>
        <item x="3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 countASubtotal="1">
      <items count="11">
        <item x="5"/>
        <item x="8"/>
        <item x="7"/>
        <item x="4"/>
        <item x="0"/>
        <item x="9"/>
        <item x="1"/>
        <item x="2"/>
        <item x="6"/>
        <item x="3"/>
        <item t="countA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 Salary" fld="9" subtotal="average" baseField="2" baseItem="1" numFmtId="164"/>
    <dataField name="Count of Employee ID" fld="0" subtotal="count" baseField="0" baseItem="0"/>
  </dataFields>
  <formats count="30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2" type="button" dataOnly="0" labelOnly="1" outline="0" axis="axisRow" fieldPosition="0"/>
    </format>
    <format dxfId="96">
      <pivotArea dataOnly="0" labelOnly="1" fieldPosition="0">
        <references count="1">
          <reference field="2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grandRow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field="2" type="button" dataOnly="0" labelOnly="1" outline="0" axis="axisRow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7">
      <pivotArea field="2" type="button" dataOnly="0" labelOnly="1" outline="0" axis="axisRow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2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FE3A1-9A5A-4F48-968E-5DAAC02FF814}" name="Table2" displayName="Table2" ref="A1:L31" totalsRowShown="0" headerRowDxfId="37" dataDxfId="101" headerRowBorderDxfId="51" tableBorderDxfId="52" totalsRowBorderDxfId="50">
  <autoFilter ref="A1:L31" xr:uid="{BEEFE3A1-9A5A-4F48-968E-5DAAC02FF814}"/>
  <tableColumns count="12">
    <tableColumn id="1" xr3:uid="{9859E188-544E-4FD4-81A7-1FA0E4085FF6}" name="Roll No." dataDxfId="49"/>
    <tableColumn id="2" xr3:uid="{25BA97DD-DE90-40C4-806E-8A73659039A7}" name="Student Name" dataDxfId="48"/>
    <tableColumn id="3" xr3:uid="{7DD3CDDE-B9F9-4E9D-8ED4-64EB5F1F8B90}" name="Trade" dataDxfId="47"/>
    <tableColumn id="4" xr3:uid="{FB48D80A-F474-42B5-A5D8-1DC37E8E9726}" name="Gender" dataDxfId="46"/>
    <tableColumn id="5" xr3:uid="{0A155788-708A-4E45-B708-BAC1B066C3A1}" name="Attendance %" dataDxfId="45"/>
    <tableColumn id="6" xr3:uid="{B4AD0A7C-5B90-4C4D-874F-CDCD2920A83B}" name="Internal Marks" dataDxfId="44"/>
    <tableColumn id="7" xr3:uid="{011ED513-A65C-4A23-890F-1CEDD24564C5}" name="Practical Marks" dataDxfId="43"/>
    <tableColumn id="8" xr3:uid="{41DF9ECD-8E57-47D6-B8D9-49D505C01632}" name="Theory Marks" dataDxfId="42"/>
    <tableColumn id="9" xr3:uid="{3B76402A-D803-4E0F-84CA-DA63F856F803}" name="Total Marks" dataDxfId="41">
      <calculatedColumnFormula>F2+G2+H2</calculatedColumnFormula>
    </tableColumn>
    <tableColumn id="10" xr3:uid="{FCB56D79-F971-4349-B389-9A28FAABA33B}" name="Percentage" dataDxfId="40">
      <calculatedColumnFormula>I2/95*100</calculatedColumnFormula>
    </tableColumn>
    <tableColumn id="11" xr3:uid="{A04F2171-A2A0-4C08-A1C7-032C956801B9}" name="Grade" dataDxfId="39">
      <calculatedColumnFormula>_xlfn.IFS(J2&gt;=80,"A",J2&gt;=70,"B",J2&gt;=60,"C",J2&gt;=50,"D",TRUE,"E")</calculatedColumnFormula>
    </tableColumn>
    <tableColumn id="12" xr3:uid="{F317C792-88D8-4CBE-A64D-EE3E25C714ED}" name="Result" dataDxfId="38">
      <calculatedColumnFormula>IF(AND(J2&gt;=50,E2&gt;=75),"Pass","Fail")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259C6E-AACD-41D3-8D25-A71B62A7E358}" name="EmployeeData" displayName="EmployeeData" ref="A1:K31" headerRowDxfId="36" dataDxfId="100" totalsRowDxfId="53" headerRowBorderDxfId="65" tableBorderDxfId="66">
  <autoFilter ref="A1:K31" xr:uid="{00000000-0009-0000-0100-000002000000}"/>
  <tableColumns count="11">
    <tableColumn id="1" xr3:uid="{00000000-0010-0000-0100-000001000000}" name="Employee ID" dataDxfId="64"/>
    <tableColumn id="2" xr3:uid="{00000000-0010-0000-0100-000002000000}" name="Employee Name" dataDxfId="63"/>
    <tableColumn id="3" xr3:uid="{00000000-0010-0000-0100-000003000000}" name="Department" dataDxfId="62"/>
    <tableColumn id="4" xr3:uid="{00000000-0010-0000-0100-000004000000}" name="Designation" dataDxfId="61"/>
    <tableColumn id="5" xr3:uid="{00000000-0010-0000-0100-000005000000}" name="City" dataDxfId="60"/>
    <tableColumn id="6" xr3:uid="{00000000-0010-0000-0100-000006000000}" name="Basic Salary" dataDxfId="59"/>
    <tableColumn id="7" xr3:uid="{00000000-0010-0000-0100-000007000000}" name="HRA" dataDxfId="58"/>
    <tableColumn id="8" xr3:uid="{00000000-0010-0000-0100-000008000000}" name="Allowance" dataDxfId="57"/>
    <tableColumn id="9" xr3:uid="{00000000-0010-0000-0100-000009000000}" name="Deduction" dataDxfId="56"/>
    <tableColumn id="10" xr3:uid="{00000000-0010-0000-0100-00000A000000}" name="Net Salary" dataDxfId="55">
      <calculatedColumnFormula>F2+G2+H2-I2</calculatedColumnFormula>
    </tableColumn>
    <tableColumn id="11" xr3:uid="{00000000-0010-0000-0100-00000B000000}" name="Experience (Years)" dataDxfId="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2924-3CC1-445E-BF4F-D7206B481BEE}">
  <dimension ref="A1:L31"/>
  <sheetViews>
    <sheetView workbookViewId="0">
      <selection activeCell="O11" sqref="O11"/>
    </sheetView>
  </sheetViews>
  <sheetFormatPr defaultRowHeight="15.75" x14ac:dyDescent="0.25"/>
  <cols>
    <col min="1" max="1" width="14.28515625" style="1" bestFit="1" customWidth="1"/>
    <col min="2" max="2" width="20.7109375" style="1" bestFit="1" customWidth="1"/>
    <col min="3" max="3" width="11.7109375" style="1" bestFit="1" customWidth="1"/>
    <col min="4" max="4" width="13.42578125" style="1" bestFit="1" customWidth="1"/>
    <col min="5" max="5" width="20.140625" style="1" bestFit="1" customWidth="1"/>
    <col min="6" max="6" width="21.28515625" style="1" bestFit="1" customWidth="1"/>
    <col min="7" max="7" width="21.85546875" style="1" bestFit="1" customWidth="1"/>
    <col min="8" max="8" width="20.5703125" style="1" bestFit="1" customWidth="1"/>
    <col min="9" max="9" width="18.42578125" style="1" bestFit="1" customWidth="1"/>
    <col min="10" max="10" width="16.85546875" style="1" bestFit="1" customWidth="1"/>
    <col min="11" max="11" width="12" style="1" bestFit="1" customWidth="1"/>
    <col min="12" max="12" width="12.28515625" style="1" bestFit="1" customWidth="1"/>
  </cols>
  <sheetData>
    <row r="1" spans="1:12" ht="16.5" x14ac:dyDescent="0.3">
      <c r="A1" s="40" t="s">
        <v>48</v>
      </c>
      <c r="B1" s="41" t="s">
        <v>47</v>
      </c>
      <c r="C1" s="41" t="s">
        <v>46</v>
      </c>
      <c r="D1" s="41" t="s">
        <v>45</v>
      </c>
      <c r="E1" s="41" t="s">
        <v>44</v>
      </c>
      <c r="F1" s="41" t="s">
        <v>43</v>
      </c>
      <c r="G1" s="41" t="s">
        <v>42</v>
      </c>
      <c r="H1" s="41" t="s">
        <v>41</v>
      </c>
      <c r="I1" s="41" t="s">
        <v>40</v>
      </c>
      <c r="J1" s="41" t="s">
        <v>39</v>
      </c>
      <c r="K1" s="41" t="s">
        <v>38</v>
      </c>
      <c r="L1" s="42" t="s">
        <v>37</v>
      </c>
    </row>
    <row r="2" spans="1:12" x14ac:dyDescent="0.25">
      <c r="A2" s="43">
        <v>1</v>
      </c>
      <c r="B2" s="44" t="s">
        <v>36</v>
      </c>
      <c r="C2" s="44" t="s">
        <v>10</v>
      </c>
      <c r="D2" s="44" t="s">
        <v>3</v>
      </c>
      <c r="E2" s="45">
        <v>87</v>
      </c>
      <c r="F2" s="44">
        <v>18</v>
      </c>
      <c r="G2" s="44">
        <v>28</v>
      </c>
      <c r="H2" s="44">
        <v>36</v>
      </c>
      <c r="I2" s="44">
        <f t="shared" ref="I2:I31" si="0">F2+G2+H2</f>
        <v>82</v>
      </c>
      <c r="J2" s="46">
        <f t="shared" ref="J2:J31" si="1">I2/95*100</f>
        <v>86.31578947368422</v>
      </c>
      <c r="K2" s="44" t="str">
        <f t="shared" ref="K2:K31" si="2">_xlfn.IFS(J2&gt;=80,"A",J2&gt;=70,"B",J2&gt;=60,"C",J2&gt;=50,"D",TRUE,"E")</f>
        <v>A</v>
      </c>
      <c r="L2" s="47" t="str">
        <f t="shared" ref="L2:L31" si="3">IF(AND(J2&gt;=50,E2&gt;=75),"Pass","Fail")</f>
        <v>Pass</v>
      </c>
    </row>
    <row r="3" spans="1:12" x14ac:dyDescent="0.25">
      <c r="A3" s="43">
        <v>2</v>
      </c>
      <c r="B3" s="44" t="s">
        <v>35</v>
      </c>
      <c r="C3" s="44" t="s">
        <v>8</v>
      </c>
      <c r="D3" s="44" t="s">
        <v>0</v>
      </c>
      <c r="E3" s="45">
        <v>93</v>
      </c>
      <c r="F3" s="44">
        <v>19</v>
      </c>
      <c r="G3" s="44">
        <v>20</v>
      </c>
      <c r="H3" s="44">
        <v>32</v>
      </c>
      <c r="I3" s="44">
        <f t="shared" si="0"/>
        <v>71</v>
      </c>
      <c r="J3" s="46">
        <f t="shared" si="1"/>
        <v>74.73684210526315</v>
      </c>
      <c r="K3" s="44" t="str">
        <f t="shared" si="2"/>
        <v>B</v>
      </c>
      <c r="L3" s="47" t="str">
        <f t="shared" si="3"/>
        <v>Pass</v>
      </c>
    </row>
    <row r="4" spans="1:12" x14ac:dyDescent="0.25">
      <c r="A4" s="43">
        <v>3</v>
      </c>
      <c r="B4" s="44" t="s">
        <v>34</v>
      </c>
      <c r="C4" s="44" t="s">
        <v>6</v>
      </c>
      <c r="D4" s="44" t="s">
        <v>3</v>
      </c>
      <c r="E4" s="45">
        <v>72</v>
      </c>
      <c r="F4" s="44">
        <v>19</v>
      </c>
      <c r="G4" s="44">
        <v>25</v>
      </c>
      <c r="H4" s="44">
        <v>28</v>
      </c>
      <c r="I4" s="44">
        <f t="shared" si="0"/>
        <v>72</v>
      </c>
      <c r="J4" s="46">
        <f t="shared" si="1"/>
        <v>75.789473684210535</v>
      </c>
      <c r="K4" s="44" t="str">
        <f t="shared" si="2"/>
        <v>B</v>
      </c>
      <c r="L4" s="47" t="str">
        <f t="shared" si="3"/>
        <v>Fail</v>
      </c>
    </row>
    <row r="5" spans="1:12" x14ac:dyDescent="0.25">
      <c r="A5" s="43">
        <v>4</v>
      </c>
      <c r="B5" s="44" t="s">
        <v>33</v>
      </c>
      <c r="C5" s="44" t="s">
        <v>4</v>
      </c>
      <c r="D5" s="44" t="s">
        <v>0</v>
      </c>
      <c r="E5" s="45">
        <v>92</v>
      </c>
      <c r="F5" s="44">
        <v>21</v>
      </c>
      <c r="G5" s="44">
        <v>29</v>
      </c>
      <c r="H5" s="44">
        <v>39</v>
      </c>
      <c r="I5" s="44">
        <f t="shared" si="0"/>
        <v>89</v>
      </c>
      <c r="J5" s="46">
        <f t="shared" si="1"/>
        <v>93.684210526315795</v>
      </c>
      <c r="K5" s="44" t="str">
        <f t="shared" si="2"/>
        <v>A</v>
      </c>
      <c r="L5" s="47" t="str">
        <f t="shared" si="3"/>
        <v>Pass</v>
      </c>
    </row>
    <row r="6" spans="1:12" x14ac:dyDescent="0.25">
      <c r="A6" s="43">
        <v>5</v>
      </c>
      <c r="B6" s="44" t="s">
        <v>32</v>
      </c>
      <c r="C6" s="44" t="s">
        <v>1</v>
      </c>
      <c r="D6" s="44" t="s">
        <v>3</v>
      </c>
      <c r="E6" s="45">
        <v>79</v>
      </c>
      <c r="F6" s="44">
        <v>22</v>
      </c>
      <c r="G6" s="44">
        <v>18</v>
      </c>
      <c r="H6" s="44">
        <v>39</v>
      </c>
      <c r="I6" s="44">
        <f t="shared" si="0"/>
        <v>79</v>
      </c>
      <c r="J6" s="46">
        <f t="shared" si="1"/>
        <v>83.15789473684211</v>
      </c>
      <c r="K6" s="44" t="str">
        <f t="shared" si="2"/>
        <v>A</v>
      </c>
      <c r="L6" s="47" t="str">
        <f t="shared" si="3"/>
        <v>Pass</v>
      </c>
    </row>
    <row r="7" spans="1:12" x14ac:dyDescent="0.25">
      <c r="A7" s="43">
        <v>6</v>
      </c>
      <c r="B7" s="44" t="s">
        <v>31</v>
      </c>
      <c r="C7" s="44" t="s">
        <v>10</v>
      </c>
      <c r="D7" s="44" t="s">
        <v>0</v>
      </c>
      <c r="E7" s="45">
        <v>76</v>
      </c>
      <c r="F7" s="44">
        <v>21</v>
      </c>
      <c r="G7" s="44">
        <v>23</v>
      </c>
      <c r="H7" s="44">
        <v>25</v>
      </c>
      <c r="I7" s="44">
        <f t="shared" si="0"/>
        <v>69</v>
      </c>
      <c r="J7" s="46">
        <f t="shared" si="1"/>
        <v>72.631578947368425</v>
      </c>
      <c r="K7" s="44" t="str">
        <f t="shared" si="2"/>
        <v>B</v>
      </c>
      <c r="L7" s="47" t="str">
        <f t="shared" si="3"/>
        <v>Pass</v>
      </c>
    </row>
    <row r="8" spans="1:12" x14ac:dyDescent="0.25">
      <c r="A8" s="43">
        <v>7</v>
      </c>
      <c r="B8" s="44" t="s">
        <v>30</v>
      </c>
      <c r="C8" s="44" t="s">
        <v>8</v>
      </c>
      <c r="D8" s="44" t="s">
        <v>3</v>
      </c>
      <c r="E8" s="45">
        <v>82</v>
      </c>
      <c r="F8" s="44">
        <v>17</v>
      </c>
      <c r="G8" s="44">
        <v>18</v>
      </c>
      <c r="H8" s="44">
        <v>38</v>
      </c>
      <c r="I8" s="44">
        <f t="shared" si="0"/>
        <v>73</v>
      </c>
      <c r="J8" s="46">
        <f t="shared" si="1"/>
        <v>76.84210526315789</v>
      </c>
      <c r="K8" s="44" t="str">
        <f t="shared" si="2"/>
        <v>B</v>
      </c>
      <c r="L8" s="47" t="str">
        <f t="shared" si="3"/>
        <v>Pass</v>
      </c>
    </row>
    <row r="9" spans="1:12" x14ac:dyDescent="0.25">
      <c r="A9" s="43">
        <v>8</v>
      </c>
      <c r="B9" s="44" t="s">
        <v>29</v>
      </c>
      <c r="C9" s="44" t="s">
        <v>6</v>
      </c>
      <c r="D9" s="44" t="s">
        <v>0</v>
      </c>
      <c r="E9" s="45">
        <v>98</v>
      </c>
      <c r="F9" s="44">
        <v>17</v>
      </c>
      <c r="G9" s="44">
        <v>19</v>
      </c>
      <c r="H9" s="44">
        <v>36</v>
      </c>
      <c r="I9" s="44">
        <f t="shared" si="0"/>
        <v>72</v>
      </c>
      <c r="J9" s="46">
        <f t="shared" si="1"/>
        <v>75.789473684210535</v>
      </c>
      <c r="K9" s="44" t="str">
        <f t="shared" si="2"/>
        <v>B</v>
      </c>
      <c r="L9" s="47" t="str">
        <f t="shared" si="3"/>
        <v>Pass</v>
      </c>
    </row>
    <row r="10" spans="1:12" x14ac:dyDescent="0.25">
      <c r="A10" s="43">
        <v>9</v>
      </c>
      <c r="B10" s="44" t="s">
        <v>28</v>
      </c>
      <c r="C10" s="44" t="s">
        <v>4</v>
      </c>
      <c r="D10" s="44" t="s">
        <v>3</v>
      </c>
      <c r="E10" s="45">
        <v>93</v>
      </c>
      <c r="F10" s="44">
        <v>19</v>
      </c>
      <c r="G10" s="44">
        <v>28</v>
      </c>
      <c r="H10" s="44">
        <v>32</v>
      </c>
      <c r="I10" s="44">
        <f t="shared" si="0"/>
        <v>79</v>
      </c>
      <c r="J10" s="46">
        <f t="shared" si="1"/>
        <v>83.15789473684211</v>
      </c>
      <c r="K10" s="44" t="str">
        <f t="shared" si="2"/>
        <v>A</v>
      </c>
      <c r="L10" s="47" t="str">
        <f t="shared" si="3"/>
        <v>Pass</v>
      </c>
    </row>
    <row r="11" spans="1:12" x14ac:dyDescent="0.25">
      <c r="A11" s="43">
        <v>10</v>
      </c>
      <c r="B11" s="44" t="s">
        <v>27</v>
      </c>
      <c r="C11" s="44" t="s">
        <v>1</v>
      </c>
      <c r="D11" s="44" t="s">
        <v>0</v>
      </c>
      <c r="E11" s="45">
        <v>97</v>
      </c>
      <c r="F11" s="44">
        <v>15</v>
      </c>
      <c r="G11" s="44">
        <v>18</v>
      </c>
      <c r="H11" s="44">
        <v>21</v>
      </c>
      <c r="I11" s="44">
        <f t="shared" si="0"/>
        <v>54</v>
      </c>
      <c r="J11" s="46">
        <f t="shared" si="1"/>
        <v>56.84210526315789</v>
      </c>
      <c r="K11" s="44" t="str">
        <f t="shared" si="2"/>
        <v>D</v>
      </c>
      <c r="L11" s="47" t="str">
        <f t="shared" si="3"/>
        <v>Pass</v>
      </c>
    </row>
    <row r="12" spans="1:12" x14ac:dyDescent="0.25">
      <c r="A12" s="43">
        <v>11</v>
      </c>
      <c r="B12" s="44" t="s">
        <v>26</v>
      </c>
      <c r="C12" s="44" t="s">
        <v>10</v>
      </c>
      <c r="D12" s="44" t="s">
        <v>3</v>
      </c>
      <c r="E12" s="45">
        <v>98</v>
      </c>
      <c r="F12" s="44">
        <v>24</v>
      </c>
      <c r="G12" s="44">
        <v>26</v>
      </c>
      <c r="H12" s="44">
        <v>27</v>
      </c>
      <c r="I12" s="44">
        <f t="shared" si="0"/>
        <v>77</v>
      </c>
      <c r="J12" s="46">
        <f t="shared" si="1"/>
        <v>81.05263157894737</v>
      </c>
      <c r="K12" s="44" t="str">
        <f t="shared" si="2"/>
        <v>A</v>
      </c>
      <c r="L12" s="47" t="str">
        <f t="shared" si="3"/>
        <v>Pass</v>
      </c>
    </row>
    <row r="13" spans="1:12" x14ac:dyDescent="0.25">
      <c r="A13" s="43">
        <v>12</v>
      </c>
      <c r="B13" s="44" t="s">
        <v>25</v>
      </c>
      <c r="C13" s="44" t="s">
        <v>8</v>
      </c>
      <c r="D13" s="44" t="s">
        <v>0</v>
      </c>
      <c r="E13" s="45">
        <v>74</v>
      </c>
      <c r="F13" s="44">
        <v>20</v>
      </c>
      <c r="G13" s="44">
        <v>25</v>
      </c>
      <c r="H13" s="44">
        <v>23</v>
      </c>
      <c r="I13" s="44">
        <f t="shared" si="0"/>
        <v>68</v>
      </c>
      <c r="J13" s="46">
        <f t="shared" si="1"/>
        <v>71.578947368421055</v>
      </c>
      <c r="K13" s="44" t="str">
        <f t="shared" si="2"/>
        <v>B</v>
      </c>
      <c r="L13" s="47" t="str">
        <f t="shared" si="3"/>
        <v>Fail</v>
      </c>
    </row>
    <row r="14" spans="1:12" x14ac:dyDescent="0.25">
      <c r="A14" s="43">
        <v>13</v>
      </c>
      <c r="B14" s="44" t="s">
        <v>24</v>
      </c>
      <c r="C14" s="44" t="s">
        <v>6</v>
      </c>
      <c r="D14" s="44" t="s">
        <v>3</v>
      </c>
      <c r="E14" s="45">
        <v>93</v>
      </c>
      <c r="F14" s="44">
        <v>20</v>
      </c>
      <c r="G14" s="44">
        <v>20</v>
      </c>
      <c r="H14" s="44">
        <v>37</v>
      </c>
      <c r="I14" s="44">
        <f t="shared" si="0"/>
        <v>77</v>
      </c>
      <c r="J14" s="46">
        <f t="shared" si="1"/>
        <v>81.05263157894737</v>
      </c>
      <c r="K14" s="44" t="str">
        <f t="shared" si="2"/>
        <v>A</v>
      </c>
      <c r="L14" s="47" t="str">
        <f t="shared" si="3"/>
        <v>Pass</v>
      </c>
    </row>
    <row r="15" spans="1:12" x14ac:dyDescent="0.25">
      <c r="A15" s="43">
        <v>14</v>
      </c>
      <c r="B15" s="44" t="s">
        <v>23</v>
      </c>
      <c r="C15" s="44" t="s">
        <v>4</v>
      </c>
      <c r="D15" s="44" t="s">
        <v>0</v>
      </c>
      <c r="E15" s="45">
        <v>82</v>
      </c>
      <c r="F15" s="44">
        <v>23</v>
      </c>
      <c r="G15" s="44">
        <v>26</v>
      </c>
      <c r="H15" s="44">
        <v>25</v>
      </c>
      <c r="I15" s="44">
        <f t="shared" si="0"/>
        <v>74</v>
      </c>
      <c r="J15" s="46">
        <f t="shared" si="1"/>
        <v>77.89473684210526</v>
      </c>
      <c r="K15" s="44" t="str">
        <f t="shared" si="2"/>
        <v>B</v>
      </c>
      <c r="L15" s="47" t="str">
        <f t="shared" si="3"/>
        <v>Pass</v>
      </c>
    </row>
    <row r="16" spans="1:12" x14ac:dyDescent="0.25">
      <c r="A16" s="43">
        <v>15</v>
      </c>
      <c r="B16" s="44" t="s">
        <v>22</v>
      </c>
      <c r="C16" s="44" t="s">
        <v>1</v>
      </c>
      <c r="D16" s="44" t="s">
        <v>3</v>
      </c>
      <c r="E16" s="45">
        <v>94</v>
      </c>
      <c r="F16" s="44">
        <v>14</v>
      </c>
      <c r="G16" s="44">
        <v>26</v>
      </c>
      <c r="H16" s="44">
        <v>25</v>
      </c>
      <c r="I16" s="44">
        <f t="shared" si="0"/>
        <v>65</v>
      </c>
      <c r="J16" s="46">
        <f t="shared" si="1"/>
        <v>68.421052631578945</v>
      </c>
      <c r="K16" s="44" t="str">
        <f t="shared" si="2"/>
        <v>C</v>
      </c>
      <c r="L16" s="47" t="str">
        <f t="shared" si="3"/>
        <v>Pass</v>
      </c>
    </row>
    <row r="17" spans="1:12" x14ac:dyDescent="0.25">
      <c r="A17" s="43">
        <v>16</v>
      </c>
      <c r="B17" s="44" t="s">
        <v>21</v>
      </c>
      <c r="C17" s="44" t="s">
        <v>10</v>
      </c>
      <c r="D17" s="44" t="s">
        <v>0</v>
      </c>
      <c r="E17" s="45">
        <v>88</v>
      </c>
      <c r="F17" s="44">
        <v>15</v>
      </c>
      <c r="G17" s="44">
        <v>24</v>
      </c>
      <c r="H17" s="44">
        <v>39</v>
      </c>
      <c r="I17" s="44">
        <f t="shared" si="0"/>
        <v>78</v>
      </c>
      <c r="J17" s="46">
        <f t="shared" si="1"/>
        <v>82.10526315789474</v>
      </c>
      <c r="K17" s="44" t="str">
        <f t="shared" si="2"/>
        <v>A</v>
      </c>
      <c r="L17" s="47" t="str">
        <f t="shared" si="3"/>
        <v>Pass</v>
      </c>
    </row>
    <row r="18" spans="1:12" x14ac:dyDescent="0.25">
      <c r="A18" s="43">
        <v>17</v>
      </c>
      <c r="B18" s="44" t="s">
        <v>20</v>
      </c>
      <c r="C18" s="44" t="s">
        <v>8</v>
      </c>
      <c r="D18" s="44" t="s">
        <v>3</v>
      </c>
      <c r="E18" s="45">
        <v>85</v>
      </c>
      <c r="F18" s="44">
        <v>24</v>
      </c>
      <c r="G18" s="44">
        <v>27</v>
      </c>
      <c r="H18" s="44">
        <v>35</v>
      </c>
      <c r="I18" s="44">
        <f t="shared" si="0"/>
        <v>86</v>
      </c>
      <c r="J18" s="46">
        <f t="shared" si="1"/>
        <v>90.526315789473685</v>
      </c>
      <c r="K18" s="44" t="str">
        <f t="shared" si="2"/>
        <v>A</v>
      </c>
      <c r="L18" s="47" t="str">
        <f t="shared" si="3"/>
        <v>Pass</v>
      </c>
    </row>
    <row r="19" spans="1:12" x14ac:dyDescent="0.25">
      <c r="A19" s="43">
        <v>18</v>
      </c>
      <c r="B19" s="44" t="s">
        <v>19</v>
      </c>
      <c r="C19" s="44" t="s">
        <v>6</v>
      </c>
      <c r="D19" s="44" t="s">
        <v>0</v>
      </c>
      <c r="E19" s="45">
        <v>87</v>
      </c>
      <c r="F19" s="44">
        <v>23</v>
      </c>
      <c r="G19" s="44">
        <v>24</v>
      </c>
      <c r="H19" s="44">
        <v>37</v>
      </c>
      <c r="I19" s="44">
        <f t="shared" si="0"/>
        <v>84</v>
      </c>
      <c r="J19" s="46">
        <f t="shared" si="1"/>
        <v>88.421052631578945</v>
      </c>
      <c r="K19" s="44" t="str">
        <f t="shared" si="2"/>
        <v>A</v>
      </c>
      <c r="L19" s="47" t="str">
        <f t="shared" si="3"/>
        <v>Pass</v>
      </c>
    </row>
    <row r="20" spans="1:12" x14ac:dyDescent="0.25">
      <c r="A20" s="43">
        <v>19</v>
      </c>
      <c r="B20" s="44" t="s">
        <v>18</v>
      </c>
      <c r="C20" s="44" t="s">
        <v>4</v>
      </c>
      <c r="D20" s="44" t="s">
        <v>3</v>
      </c>
      <c r="E20" s="45">
        <v>72</v>
      </c>
      <c r="F20" s="44">
        <v>24</v>
      </c>
      <c r="G20" s="44">
        <v>29</v>
      </c>
      <c r="H20" s="44">
        <v>22</v>
      </c>
      <c r="I20" s="44">
        <f t="shared" si="0"/>
        <v>75</v>
      </c>
      <c r="J20" s="46">
        <f t="shared" si="1"/>
        <v>78.94736842105263</v>
      </c>
      <c r="K20" s="44" t="str">
        <f t="shared" si="2"/>
        <v>B</v>
      </c>
      <c r="L20" s="47" t="str">
        <f t="shared" si="3"/>
        <v>Fail</v>
      </c>
    </row>
    <row r="21" spans="1:12" x14ac:dyDescent="0.25">
      <c r="A21" s="43">
        <v>20</v>
      </c>
      <c r="B21" s="44" t="s">
        <v>17</v>
      </c>
      <c r="C21" s="44" t="s">
        <v>1</v>
      </c>
      <c r="D21" s="44" t="s">
        <v>0</v>
      </c>
      <c r="E21" s="45">
        <v>78</v>
      </c>
      <c r="F21" s="44">
        <v>24</v>
      </c>
      <c r="G21" s="44">
        <v>22</v>
      </c>
      <c r="H21" s="44">
        <v>31</v>
      </c>
      <c r="I21" s="44">
        <f t="shared" si="0"/>
        <v>77</v>
      </c>
      <c r="J21" s="46">
        <f t="shared" si="1"/>
        <v>81.05263157894737</v>
      </c>
      <c r="K21" s="44" t="str">
        <f t="shared" si="2"/>
        <v>A</v>
      </c>
      <c r="L21" s="47" t="str">
        <f t="shared" si="3"/>
        <v>Pass</v>
      </c>
    </row>
    <row r="22" spans="1:12" x14ac:dyDescent="0.25">
      <c r="A22" s="43">
        <v>21</v>
      </c>
      <c r="B22" s="44" t="s">
        <v>16</v>
      </c>
      <c r="C22" s="44" t="s">
        <v>10</v>
      </c>
      <c r="D22" s="44" t="s">
        <v>3</v>
      </c>
      <c r="E22" s="45">
        <v>83</v>
      </c>
      <c r="F22" s="44">
        <v>25</v>
      </c>
      <c r="G22" s="44">
        <v>24</v>
      </c>
      <c r="H22" s="44">
        <v>29</v>
      </c>
      <c r="I22" s="44">
        <f t="shared" si="0"/>
        <v>78</v>
      </c>
      <c r="J22" s="46">
        <f t="shared" si="1"/>
        <v>82.10526315789474</v>
      </c>
      <c r="K22" s="44" t="str">
        <f t="shared" si="2"/>
        <v>A</v>
      </c>
      <c r="L22" s="47" t="str">
        <f t="shared" si="3"/>
        <v>Pass</v>
      </c>
    </row>
    <row r="23" spans="1:12" x14ac:dyDescent="0.25">
      <c r="A23" s="43">
        <v>22</v>
      </c>
      <c r="B23" s="44" t="s">
        <v>15</v>
      </c>
      <c r="C23" s="44" t="s">
        <v>8</v>
      </c>
      <c r="D23" s="44" t="s">
        <v>0</v>
      </c>
      <c r="E23" s="45">
        <v>75</v>
      </c>
      <c r="F23" s="44">
        <v>18</v>
      </c>
      <c r="G23" s="44">
        <v>21</v>
      </c>
      <c r="H23" s="44">
        <v>30</v>
      </c>
      <c r="I23" s="44">
        <f t="shared" si="0"/>
        <v>69</v>
      </c>
      <c r="J23" s="46">
        <f t="shared" si="1"/>
        <v>72.631578947368425</v>
      </c>
      <c r="K23" s="44" t="str">
        <f t="shared" si="2"/>
        <v>B</v>
      </c>
      <c r="L23" s="47" t="str">
        <f t="shared" si="3"/>
        <v>Pass</v>
      </c>
    </row>
    <row r="24" spans="1:12" x14ac:dyDescent="0.25">
      <c r="A24" s="43">
        <v>23</v>
      </c>
      <c r="B24" s="44" t="s">
        <v>14</v>
      </c>
      <c r="C24" s="44" t="s">
        <v>6</v>
      </c>
      <c r="D24" s="44" t="s">
        <v>3</v>
      </c>
      <c r="E24" s="45">
        <v>83</v>
      </c>
      <c r="F24" s="44">
        <v>19</v>
      </c>
      <c r="G24" s="44">
        <v>26</v>
      </c>
      <c r="H24" s="44">
        <v>38</v>
      </c>
      <c r="I24" s="44">
        <f t="shared" si="0"/>
        <v>83</v>
      </c>
      <c r="J24" s="46">
        <f t="shared" si="1"/>
        <v>87.368421052631589</v>
      </c>
      <c r="K24" s="44" t="str">
        <f t="shared" si="2"/>
        <v>A</v>
      </c>
      <c r="L24" s="47" t="str">
        <f t="shared" si="3"/>
        <v>Pass</v>
      </c>
    </row>
    <row r="25" spans="1:12" x14ac:dyDescent="0.25">
      <c r="A25" s="43">
        <v>24</v>
      </c>
      <c r="B25" s="44" t="s">
        <v>13</v>
      </c>
      <c r="C25" s="44" t="s">
        <v>4</v>
      </c>
      <c r="D25" s="44" t="s">
        <v>0</v>
      </c>
      <c r="E25" s="45">
        <v>97</v>
      </c>
      <c r="F25" s="44">
        <v>22</v>
      </c>
      <c r="G25" s="44">
        <v>20</v>
      </c>
      <c r="H25" s="44">
        <v>20</v>
      </c>
      <c r="I25" s="44">
        <f t="shared" si="0"/>
        <v>62</v>
      </c>
      <c r="J25" s="46">
        <f t="shared" si="1"/>
        <v>65.26315789473685</v>
      </c>
      <c r="K25" s="44" t="str">
        <f t="shared" si="2"/>
        <v>C</v>
      </c>
      <c r="L25" s="47" t="str">
        <f t="shared" si="3"/>
        <v>Pass</v>
      </c>
    </row>
    <row r="26" spans="1:12" x14ac:dyDescent="0.25">
      <c r="A26" s="43">
        <v>25</v>
      </c>
      <c r="B26" s="44" t="s">
        <v>12</v>
      </c>
      <c r="C26" s="44" t="s">
        <v>1</v>
      </c>
      <c r="D26" s="44" t="s">
        <v>3</v>
      </c>
      <c r="E26" s="45">
        <v>84</v>
      </c>
      <c r="F26" s="44">
        <v>20</v>
      </c>
      <c r="G26" s="44">
        <v>18</v>
      </c>
      <c r="H26" s="44">
        <v>36</v>
      </c>
      <c r="I26" s="44">
        <f t="shared" si="0"/>
        <v>74</v>
      </c>
      <c r="J26" s="46">
        <f t="shared" si="1"/>
        <v>77.89473684210526</v>
      </c>
      <c r="K26" s="44" t="str">
        <f t="shared" si="2"/>
        <v>B</v>
      </c>
      <c r="L26" s="47" t="str">
        <f t="shared" si="3"/>
        <v>Pass</v>
      </c>
    </row>
    <row r="27" spans="1:12" x14ac:dyDescent="0.25">
      <c r="A27" s="43">
        <v>26</v>
      </c>
      <c r="B27" s="44" t="s">
        <v>11</v>
      </c>
      <c r="C27" s="44" t="s">
        <v>10</v>
      </c>
      <c r="D27" s="44" t="s">
        <v>0</v>
      </c>
      <c r="E27" s="45">
        <v>72</v>
      </c>
      <c r="F27" s="44">
        <v>17</v>
      </c>
      <c r="G27" s="44">
        <v>28</v>
      </c>
      <c r="H27" s="44">
        <v>33</v>
      </c>
      <c r="I27" s="44">
        <f t="shared" si="0"/>
        <v>78</v>
      </c>
      <c r="J27" s="46">
        <f t="shared" si="1"/>
        <v>82.10526315789474</v>
      </c>
      <c r="K27" s="44" t="str">
        <f t="shared" si="2"/>
        <v>A</v>
      </c>
      <c r="L27" s="47" t="str">
        <f t="shared" si="3"/>
        <v>Fail</v>
      </c>
    </row>
    <row r="28" spans="1:12" x14ac:dyDescent="0.25">
      <c r="A28" s="43">
        <v>27</v>
      </c>
      <c r="B28" s="44" t="s">
        <v>9</v>
      </c>
      <c r="C28" s="44" t="s">
        <v>8</v>
      </c>
      <c r="D28" s="44" t="s">
        <v>3</v>
      </c>
      <c r="E28" s="45">
        <v>73</v>
      </c>
      <c r="F28" s="44">
        <v>20</v>
      </c>
      <c r="G28" s="44">
        <v>21</v>
      </c>
      <c r="H28" s="44">
        <v>39</v>
      </c>
      <c r="I28" s="44">
        <f t="shared" si="0"/>
        <v>80</v>
      </c>
      <c r="J28" s="46">
        <f t="shared" si="1"/>
        <v>84.210526315789465</v>
      </c>
      <c r="K28" s="44" t="str">
        <f t="shared" si="2"/>
        <v>A</v>
      </c>
      <c r="L28" s="47" t="str">
        <f t="shared" si="3"/>
        <v>Fail</v>
      </c>
    </row>
    <row r="29" spans="1:12" x14ac:dyDescent="0.25">
      <c r="A29" s="43">
        <v>28</v>
      </c>
      <c r="B29" s="44" t="s">
        <v>7</v>
      </c>
      <c r="C29" s="44" t="s">
        <v>6</v>
      </c>
      <c r="D29" s="44" t="s">
        <v>0</v>
      </c>
      <c r="E29" s="45">
        <v>75</v>
      </c>
      <c r="F29" s="44">
        <v>22</v>
      </c>
      <c r="G29" s="44">
        <v>21</v>
      </c>
      <c r="H29" s="44">
        <v>25</v>
      </c>
      <c r="I29" s="44">
        <f t="shared" si="0"/>
        <v>68</v>
      </c>
      <c r="J29" s="46">
        <f t="shared" si="1"/>
        <v>71.578947368421055</v>
      </c>
      <c r="K29" s="44" t="str">
        <f t="shared" si="2"/>
        <v>B</v>
      </c>
      <c r="L29" s="47" t="str">
        <f t="shared" si="3"/>
        <v>Pass</v>
      </c>
    </row>
    <row r="30" spans="1:12" x14ac:dyDescent="0.25">
      <c r="A30" s="43">
        <v>29</v>
      </c>
      <c r="B30" s="44" t="s">
        <v>5</v>
      </c>
      <c r="C30" s="44" t="s">
        <v>4</v>
      </c>
      <c r="D30" s="44" t="s">
        <v>3</v>
      </c>
      <c r="E30" s="45">
        <v>74</v>
      </c>
      <c r="F30" s="44">
        <v>25</v>
      </c>
      <c r="G30" s="44">
        <v>22</v>
      </c>
      <c r="H30" s="44">
        <v>21</v>
      </c>
      <c r="I30" s="44">
        <f t="shared" si="0"/>
        <v>68</v>
      </c>
      <c r="J30" s="46">
        <f t="shared" si="1"/>
        <v>71.578947368421055</v>
      </c>
      <c r="K30" s="44" t="str">
        <f t="shared" si="2"/>
        <v>B</v>
      </c>
      <c r="L30" s="47" t="str">
        <f t="shared" si="3"/>
        <v>Fail</v>
      </c>
    </row>
    <row r="31" spans="1:12" x14ac:dyDescent="0.25">
      <c r="A31" s="48">
        <v>30</v>
      </c>
      <c r="B31" s="49" t="s">
        <v>2</v>
      </c>
      <c r="C31" s="49" t="s">
        <v>1</v>
      </c>
      <c r="D31" s="49" t="s">
        <v>0</v>
      </c>
      <c r="E31" s="50">
        <v>85</v>
      </c>
      <c r="F31" s="49">
        <v>18</v>
      </c>
      <c r="G31" s="49">
        <v>25</v>
      </c>
      <c r="H31" s="49">
        <v>31</v>
      </c>
      <c r="I31" s="49">
        <f t="shared" si="0"/>
        <v>74</v>
      </c>
      <c r="J31" s="51">
        <f t="shared" si="1"/>
        <v>77.89473684210526</v>
      </c>
      <c r="K31" s="49" t="str">
        <f t="shared" si="2"/>
        <v>B</v>
      </c>
      <c r="L31" s="52" t="str">
        <f t="shared" si="3"/>
        <v>Pass</v>
      </c>
    </row>
  </sheetData>
  <conditionalFormatting sqref="J2:J31">
    <cfRule type="cellIs" dxfId="0" priority="2" operator="greaterThan">
      <formula>80</formula>
    </cfRule>
    <cfRule type="cellIs" dxfId="1" priority="1" operator="greaterThan">
      <formula>80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E4A6-9F4A-40C3-9DB8-286B731EE8DF}">
  <dimension ref="A1:F19"/>
  <sheetViews>
    <sheetView tabSelected="1" workbookViewId="0">
      <selection activeCell="K10" sqref="K10"/>
    </sheetView>
  </sheetViews>
  <sheetFormatPr defaultRowHeight="15" x14ac:dyDescent="0.25"/>
  <cols>
    <col min="1" max="1" width="22.85546875" bestFit="1" customWidth="1"/>
    <col min="2" max="2" width="37.7109375" customWidth="1"/>
    <col min="4" max="4" width="15.7109375" style="15" bestFit="1" customWidth="1"/>
    <col min="5" max="5" width="21.42578125" style="15" bestFit="1" customWidth="1"/>
    <col min="6" max="6" width="16.5703125" bestFit="1" customWidth="1"/>
  </cols>
  <sheetData>
    <row r="1" spans="1:6" ht="19.5" x14ac:dyDescent="0.4">
      <c r="A1" s="8" t="s">
        <v>49</v>
      </c>
      <c r="B1" s="8"/>
      <c r="C1" s="2"/>
      <c r="D1" s="12" t="s">
        <v>61</v>
      </c>
      <c r="E1" s="13" t="s">
        <v>63</v>
      </c>
      <c r="F1" s="13" t="s">
        <v>64</v>
      </c>
    </row>
    <row r="2" spans="1:6" x14ac:dyDescent="0.25">
      <c r="A2" s="9" t="s">
        <v>50</v>
      </c>
      <c r="B2" s="11">
        <f>MAX('Q1. Students'!J2:J31)</f>
        <v>93.684210526315795</v>
      </c>
      <c r="D2" s="13" t="s">
        <v>10</v>
      </c>
      <c r="E2" s="14">
        <v>81.052631578947384</v>
      </c>
      <c r="F2" s="56">
        <v>6</v>
      </c>
    </row>
    <row r="3" spans="1:6" x14ac:dyDescent="0.25">
      <c r="A3" s="9" t="s">
        <v>51</v>
      </c>
      <c r="B3" s="11">
        <f>MIN('Q1. Students'!J2:J31)</f>
        <v>56.84210526315789</v>
      </c>
      <c r="D3" s="13" t="s">
        <v>8</v>
      </c>
      <c r="E3" s="14">
        <v>78.421052631578945</v>
      </c>
      <c r="F3" s="56">
        <v>6</v>
      </c>
    </row>
    <row r="4" spans="1:6" x14ac:dyDescent="0.25">
      <c r="A4" s="9" t="s">
        <v>52</v>
      </c>
      <c r="B4" s="11">
        <f>AVERAGE('Q1. Students'!J2:J31)</f>
        <v>78.421052631578974</v>
      </c>
      <c r="D4" s="13" t="s">
        <v>6</v>
      </c>
      <c r="E4" s="14">
        <v>80</v>
      </c>
      <c r="F4" s="56">
        <v>6</v>
      </c>
    </row>
    <row r="5" spans="1:6" x14ac:dyDescent="0.25">
      <c r="A5" s="9" t="s">
        <v>53</v>
      </c>
      <c r="B5" s="10">
        <f>COUNTIF('Q1. Students'!L2:L31,"Pass")</f>
        <v>24</v>
      </c>
      <c r="D5" s="13" t="s">
        <v>4</v>
      </c>
      <c r="E5" s="14">
        <v>78.421052631578959</v>
      </c>
      <c r="F5" s="56">
        <v>6</v>
      </c>
    </row>
    <row r="6" spans="1:6" x14ac:dyDescent="0.25">
      <c r="A6" s="9" t="s">
        <v>54</v>
      </c>
      <c r="B6" s="10">
        <f>COUNTIF('Q1. Students'!L2:L31,"Fail")</f>
        <v>6</v>
      </c>
      <c r="D6" s="13" t="s">
        <v>1</v>
      </c>
      <c r="E6" s="14">
        <v>74.21052631578948</v>
      </c>
      <c r="F6" s="56">
        <v>6</v>
      </c>
    </row>
    <row r="7" spans="1:6" x14ac:dyDescent="0.25">
      <c r="D7" s="13" t="s">
        <v>62</v>
      </c>
      <c r="E7" s="14">
        <v>78.421052631578974</v>
      </c>
      <c r="F7" s="56">
        <v>30</v>
      </c>
    </row>
    <row r="9" spans="1:6" s="5" customFormat="1" ht="19.5" x14ac:dyDescent="0.4">
      <c r="A9" s="6" t="s">
        <v>38</v>
      </c>
      <c r="B9" s="6" t="s">
        <v>60</v>
      </c>
      <c r="D9" s="15"/>
      <c r="E9" s="15"/>
      <c r="F9"/>
    </row>
    <row r="10" spans="1:6" x14ac:dyDescent="0.25">
      <c r="A10" s="7" t="s">
        <v>59</v>
      </c>
      <c r="B10" s="7">
        <f>COUNTIF('Q1. Students'!K2:K31,A10)</f>
        <v>14</v>
      </c>
    </row>
    <row r="11" spans="1:6" x14ac:dyDescent="0.25">
      <c r="A11" s="7" t="s">
        <v>58</v>
      </c>
      <c r="B11" s="7">
        <f>COUNTIF('Q1. Students'!K2:K31,A11)</f>
        <v>13</v>
      </c>
    </row>
    <row r="12" spans="1:6" x14ac:dyDescent="0.25">
      <c r="A12" s="7" t="s">
        <v>57</v>
      </c>
      <c r="B12" s="7">
        <f>COUNTIF('Q1. Students'!K2:K31,A12)</f>
        <v>2</v>
      </c>
    </row>
    <row r="13" spans="1:6" x14ac:dyDescent="0.25">
      <c r="A13" s="7" t="s">
        <v>56</v>
      </c>
      <c r="B13" s="7">
        <f>COUNTIF('Q1. Students'!K2:K31,A13)</f>
        <v>1</v>
      </c>
    </row>
    <row r="14" spans="1:6" x14ac:dyDescent="0.25">
      <c r="A14" s="7" t="s">
        <v>55</v>
      </c>
      <c r="B14" s="7">
        <f>COUNTIF('Q1. Students'!K2:K31,A14)</f>
        <v>0</v>
      </c>
    </row>
    <row r="17" spans="1:2" x14ac:dyDescent="0.25">
      <c r="A17" s="4"/>
      <c r="B17" s="4"/>
    </row>
    <row r="18" spans="1:2" ht="15.75" customHeight="1" x14ac:dyDescent="0.25">
      <c r="A18" s="3"/>
      <c r="B18" s="3"/>
    </row>
    <row r="19" spans="1:2" ht="15.75" customHeight="1" x14ac:dyDescent="0.25">
      <c r="A19" s="3" t="s">
        <v>148</v>
      </c>
      <c r="B19" s="3"/>
    </row>
  </sheetData>
  <mergeCells count="1"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6BC6-9397-4A0F-B5A0-CFA6CF9FA026}">
  <dimension ref="A1:K31"/>
  <sheetViews>
    <sheetView workbookViewId="0">
      <selection activeCell="M2" sqref="M2"/>
    </sheetView>
  </sheetViews>
  <sheetFormatPr defaultRowHeight="15" x14ac:dyDescent="0.25"/>
  <cols>
    <col min="1" max="1" width="22.85546875" bestFit="1" customWidth="1"/>
    <col min="2" max="2" width="27.28515625" bestFit="1" customWidth="1"/>
    <col min="3" max="3" width="21.140625" bestFit="1" customWidth="1"/>
    <col min="4" max="4" width="21.42578125" bestFit="1" customWidth="1"/>
    <col min="5" max="5" width="11.140625" bestFit="1" customWidth="1"/>
    <col min="6" max="6" width="21.140625" bestFit="1" customWidth="1"/>
    <col min="7" max="7" width="12.28515625" bestFit="1" customWidth="1"/>
    <col min="8" max="8" width="19.42578125" bestFit="1" customWidth="1"/>
    <col min="9" max="10" width="19.28515625" bestFit="1" customWidth="1"/>
    <col min="11" max="11" width="29.42578125" bestFit="1" customWidth="1"/>
  </cols>
  <sheetData>
    <row r="1" spans="1:11" s="19" customFormat="1" ht="18.75" x14ac:dyDescent="0.3">
      <c r="A1" s="53" t="s">
        <v>147</v>
      </c>
      <c r="B1" s="54" t="s">
        <v>146</v>
      </c>
      <c r="C1" s="54" t="s">
        <v>145</v>
      </c>
      <c r="D1" s="54" t="s">
        <v>144</v>
      </c>
      <c r="E1" s="54" t="s">
        <v>143</v>
      </c>
      <c r="F1" s="54" t="s">
        <v>142</v>
      </c>
      <c r="G1" s="54" t="s">
        <v>141</v>
      </c>
      <c r="H1" s="54" t="s">
        <v>140</v>
      </c>
      <c r="I1" s="54" t="s">
        <v>139</v>
      </c>
      <c r="J1" s="54" t="s">
        <v>138</v>
      </c>
      <c r="K1" s="55" t="s">
        <v>137</v>
      </c>
    </row>
    <row r="2" spans="1:11" ht="15.75" x14ac:dyDescent="0.25">
      <c r="A2" s="32" t="s">
        <v>136</v>
      </c>
      <c r="B2" s="33" t="s">
        <v>135</v>
      </c>
      <c r="C2" s="33" t="s">
        <v>85</v>
      </c>
      <c r="D2" s="33" t="s">
        <v>84</v>
      </c>
      <c r="E2" s="33" t="s">
        <v>83</v>
      </c>
      <c r="F2" s="34">
        <v>31411</v>
      </c>
      <c r="G2" s="34">
        <v>6282</v>
      </c>
      <c r="H2" s="34">
        <v>6210</v>
      </c>
      <c r="I2" s="34">
        <v>2881</v>
      </c>
      <c r="J2" s="34">
        <f t="shared" ref="J2:J31" si="0">F2+G2+H2-I2</f>
        <v>41022</v>
      </c>
      <c r="K2" s="35">
        <v>6</v>
      </c>
    </row>
    <row r="3" spans="1:11" ht="15.75" x14ac:dyDescent="0.25">
      <c r="A3" s="32" t="s">
        <v>134</v>
      </c>
      <c r="B3" s="33" t="s">
        <v>133</v>
      </c>
      <c r="C3" s="33" t="s">
        <v>81</v>
      </c>
      <c r="D3" s="33" t="s">
        <v>80</v>
      </c>
      <c r="E3" s="33" t="s">
        <v>79</v>
      </c>
      <c r="F3" s="34">
        <v>41683</v>
      </c>
      <c r="G3" s="34">
        <v>8337</v>
      </c>
      <c r="H3" s="34">
        <v>4782</v>
      </c>
      <c r="I3" s="34">
        <v>2154</v>
      </c>
      <c r="J3" s="34">
        <f t="shared" si="0"/>
        <v>52648</v>
      </c>
      <c r="K3" s="35">
        <v>8</v>
      </c>
    </row>
    <row r="4" spans="1:11" ht="15.75" x14ac:dyDescent="0.25">
      <c r="A4" s="32" t="s">
        <v>132</v>
      </c>
      <c r="B4" s="33" t="s">
        <v>131</v>
      </c>
      <c r="C4" s="33" t="s">
        <v>76</v>
      </c>
      <c r="D4" s="33" t="s">
        <v>75</v>
      </c>
      <c r="E4" s="33" t="s">
        <v>74</v>
      </c>
      <c r="F4" s="34">
        <v>59212</v>
      </c>
      <c r="G4" s="34">
        <v>11842</v>
      </c>
      <c r="H4" s="34">
        <v>7709</v>
      </c>
      <c r="I4" s="34">
        <v>4927</v>
      </c>
      <c r="J4" s="34">
        <f t="shared" si="0"/>
        <v>73836</v>
      </c>
      <c r="K4" s="35">
        <v>8</v>
      </c>
    </row>
    <row r="5" spans="1:11" ht="15.75" x14ac:dyDescent="0.25">
      <c r="A5" s="32" t="s">
        <v>130</v>
      </c>
      <c r="B5" s="33" t="s">
        <v>19</v>
      </c>
      <c r="C5" s="33" t="s">
        <v>71</v>
      </c>
      <c r="D5" s="33" t="s">
        <v>70</v>
      </c>
      <c r="E5" s="33" t="s">
        <v>69</v>
      </c>
      <c r="F5" s="34">
        <v>43722</v>
      </c>
      <c r="G5" s="34">
        <v>8744</v>
      </c>
      <c r="H5" s="34">
        <v>3372</v>
      </c>
      <c r="I5" s="34">
        <v>2903</v>
      </c>
      <c r="J5" s="34">
        <f t="shared" si="0"/>
        <v>52935</v>
      </c>
      <c r="K5" s="35">
        <v>9</v>
      </c>
    </row>
    <row r="6" spans="1:11" ht="15.75" x14ac:dyDescent="0.25">
      <c r="A6" s="32" t="s">
        <v>129</v>
      </c>
      <c r="B6" s="33" t="s">
        <v>128</v>
      </c>
      <c r="C6" s="33" t="s">
        <v>67</v>
      </c>
      <c r="D6" s="33" t="s">
        <v>66</v>
      </c>
      <c r="E6" s="33" t="s">
        <v>65</v>
      </c>
      <c r="F6" s="34">
        <v>51867</v>
      </c>
      <c r="G6" s="34">
        <v>10373</v>
      </c>
      <c r="H6" s="34">
        <v>3490</v>
      </c>
      <c r="I6" s="34">
        <v>1775</v>
      </c>
      <c r="J6" s="34">
        <f t="shared" si="0"/>
        <v>63955</v>
      </c>
      <c r="K6" s="35">
        <v>12</v>
      </c>
    </row>
    <row r="7" spans="1:11" ht="15.75" x14ac:dyDescent="0.25">
      <c r="A7" s="32" t="s">
        <v>127</v>
      </c>
      <c r="B7" s="33" t="s">
        <v>126</v>
      </c>
      <c r="C7" s="33" t="s">
        <v>85</v>
      </c>
      <c r="D7" s="33" t="s">
        <v>84</v>
      </c>
      <c r="E7" s="33" t="s">
        <v>83</v>
      </c>
      <c r="F7" s="34">
        <v>42410</v>
      </c>
      <c r="G7" s="34">
        <v>8482</v>
      </c>
      <c r="H7" s="34">
        <v>6971</v>
      </c>
      <c r="I7" s="34">
        <v>1027</v>
      </c>
      <c r="J7" s="34">
        <f t="shared" si="0"/>
        <v>56836</v>
      </c>
      <c r="K7" s="35">
        <v>5</v>
      </c>
    </row>
    <row r="8" spans="1:11" ht="15.75" x14ac:dyDescent="0.25">
      <c r="A8" s="32" t="s">
        <v>125</v>
      </c>
      <c r="B8" s="33" t="s">
        <v>124</v>
      </c>
      <c r="C8" s="33" t="s">
        <v>81</v>
      </c>
      <c r="D8" s="33" t="s">
        <v>80</v>
      </c>
      <c r="E8" s="33" t="s">
        <v>79</v>
      </c>
      <c r="F8" s="34">
        <v>50399</v>
      </c>
      <c r="G8" s="34">
        <v>10080</v>
      </c>
      <c r="H8" s="34">
        <v>3470</v>
      </c>
      <c r="I8" s="34">
        <v>1989</v>
      </c>
      <c r="J8" s="34">
        <f t="shared" si="0"/>
        <v>61960</v>
      </c>
      <c r="K8" s="35">
        <v>1</v>
      </c>
    </row>
    <row r="9" spans="1:11" ht="15.75" x14ac:dyDescent="0.25">
      <c r="A9" s="32" t="s">
        <v>123</v>
      </c>
      <c r="B9" s="33" t="s">
        <v>122</v>
      </c>
      <c r="C9" s="33" t="s">
        <v>76</v>
      </c>
      <c r="D9" s="33" t="s">
        <v>75</v>
      </c>
      <c r="E9" s="33" t="s">
        <v>74</v>
      </c>
      <c r="F9" s="34">
        <v>60860</v>
      </c>
      <c r="G9" s="34">
        <v>12172</v>
      </c>
      <c r="H9" s="34">
        <v>2327</v>
      </c>
      <c r="I9" s="34">
        <v>2013</v>
      </c>
      <c r="J9" s="34">
        <f t="shared" si="0"/>
        <v>73346</v>
      </c>
      <c r="K9" s="35">
        <v>10</v>
      </c>
    </row>
    <row r="10" spans="1:11" ht="15.75" x14ac:dyDescent="0.25">
      <c r="A10" s="32" t="s">
        <v>121</v>
      </c>
      <c r="B10" s="33" t="s">
        <v>120</v>
      </c>
      <c r="C10" s="33" t="s">
        <v>71</v>
      </c>
      <c r="D10" s="33" t="s">
        <v>70</v>
      </c>
      <c r="E10" s="33" t="s">
        <v>69</v>
      </c>
      <c r="F10" s="34">
        <v>35606</v>
      </c>
      <c r="G10" s="34">
        <v>7121</v>
      </c>
      <c r="H10" s="34">
        <v>4956</v>
      </c>
      <c r="I10" s="34">
        <v>3238</v>
      </c>
      <c r="J10" s="34">
        <f t="shared" si="0"/>
        <v>44445</v>
      </c>
      <c r="K10" s="35">
        <v>9</v>
      </c>
    </row>
    <row r="11" spans="1:11" ht="15.75" x14ac:dyDescent="0.25">
      <c r="A11" s="32" t="s">
        <v>119</v>
      </c>
      <c r="B11" s="33" t="s">
        <v>118</v>
      </c>
      <c r="C11" s="33" t="s">
        <v>67</v>
      </c>
      <c r="D11" s="33" t="s">
        <v>66</v>
      </c>
      <c r="E11" s="33" t="s">
        <v>65</v>
      </c>
      <c r="F11" s="34">
        <v>38145</v>
      </c>
      <c r="G11" s="34">
        <v>7629</v>
      </c>
      <c r="H11" s="34">
        <v>2195</v>
      </c>
      <c r="I11" s="34">
        <v>4799</v>
      </c>
      <c r="J11" s="34">
        <f t="shared" si="0"/>
        <v>43170</v>
      </c>
      <c r="K11" s="35">
        <v>6</v>
      </c>
    </row>
    <row r="12" spans="1:11" ht="15.75" x14ac:dyDescent="0.25">
      <c r="A12" s="32" t="s">
        <v>117</v>
      </c>
      <c r="B12" s="33" t="s">
        <v>116</v>
      </c>
      <c r="C12" s="33" t="s">
        <v>85</v>
      </c>
      <c r="D12" s="33" t="s">
        <v>84</v>
      </c>
      <c r="E12" s="33" t="s">
        <v>83</v>
      </c>
      <c r="F12" s="34">
        <v>46313</v>
      </c>
      <c r="G12" s="34">
        <v>9263</v>
      </c>
      <c r="H12" s="34">
        <v>7238</v>
      </c>
      <c r="I12" s="34">
        <v>1483</v>
      </c>
      <c r="J12" s="34">
        <f t="shared" si="0"/>
        <v>61331</v>
      </c>
      <c r="K12" s="35">
        <v>4</v>
      </c>
    </row>
    <row r="13" spans="1:11" ht="15.75" x14ac:dyDescent="0.25">
      <c r="A13" s="32" t="s">
        <v>115</v>
      </c>
      <c r="B13" s="33" t="s">
        <v>114</v>
      </c>
      <c r="C13" s="33" t="s">
        <v>81</v>
      </c>
      <c r="D13" s="33" t="s">
        <v>80</v>
      </c>
      <c r="E13" s="33" t="s">
        <v>79</v>
      </c>
      <c r="F13" s="34">
        <v>62553</v>
      </c>
      <c r="G13" s="34">
        <v>12511</v>
      </c>
      <c r="H13" s="34">
        <v>6114</v>
      </c>
      <c r="I13" s="34">
        <v>2955</v>
      </c>
      <c r="J13" s="34">
        <f t="shared" si="0"/>
        <v>78223</v>
      </c>
      <c r="K13" s="35">
        <v>8</v>
      </c>
    </row>
    <row r="14" spans="1:11" ht="15.75" x14ac:dyDescent="0.25">
      <c r="A14" s="32" t="s">
        <v>113</v>
      </c>
      <c r="B14" s="33" t="s">
        <v>112</v>
      </c>
      <c r="C14" s="33" t="s">
        <v>76</v>
      </c>
      <c r="D14" s="33" t="s">
        <v>75</v>
      </c>
      <c r="E14" s="33" t="s">
        <v>74</v>
      </c>
      <c r="F14" s="34">
        <v>51182</v>
      </c>
      <c r="G14" s="34">
        <v>10236</v>
      </c>
      <c r="H14" s="34">
        <v>4151</v>
      </c>
      <c r="I14" s="34">
        <v>3803</v>
      </c>
      <c r="J14" s="34">
        <f t="shared" si="0"/>
        <v>61766</v>
      </c>
      <c r="K14" s="35">
        <v>8</v>
      </c>
    </row>
    <row r="15" spans="1:11" ht="15.75" x14ac:dyDescent="0.25">
      <c r="A15" s="32" t="s">
        <v>111</v>
      </c>
      <c r="B15" s="33" t="s">
        <v>110</v>
      </c>
      <c r="C15" s="33" t="s">
        <v>71</v>
      </c>
      <c r="D15" s="33" t="s">
        <v>70</v>
      </c>
      <c r="E15" s="33" t="s">
        <v>69</v>
      </c>
      <c r="F15" s="34">
        <v>38626</v>
      </c>
      <c r="G15" s="34">
        <v>7725</v>
      </c>
      <c r="H15" s="34">
        <v>5676</v>
      </c>
      <c r="I15" s="34">
        <v>2193</v>
      </c>
      <c r="J15" s="34">
        <f t="shared" si="0"/>
        <v>49834</v>
      </c>
      <c r="K15" s="35">
        <v>10</v>
      </c>
    </row>
    <row r="16" spans="1:11" ht="15.75" x14ac:dyDescent="0.25">
      <c r="A16" s="32" t="s">
        <v>109</v>
      </c>
      <c r="B16" s="33" t="s">
        <v>108</v>
      </c>
      <c r="C16" s="33" t="s">
        <v>67</v>
      </c>
      <c r="D16" s="33" t="s">
        <v>66</v>
      </c>
      <c r="E16" s="33" t="s">
        <v>65</v>
      </c>
      <c r="F16" s="34">
        <v>31014</v>
      </c>
      <c r="G16" s="34">
        <v>6203</v>
      </c>
      <c r="H16" s="34">
        <v>4279</v>
      </c>
      <c r="I16" s="34">
        <v>2351</v>
      </c>
      <c r="J16" s="34">
        <f t="shared" si="0"/>
        <v>39145</v>
      </c>
      <c r="K16" s="35">
        <v>9</v>
      </c>
    </row>
    <row r="17" spans="1:11" ht="15.75" x14ac:dyDescent="0.25">
      <c r="A17" s="32" t="s">
        <v>107</v>
      </c>
      <c r="B17" s="33" t="s">
        <v>106</v>
      </c>
      <c r="C17" s="33" t="s">
        <v>85</v>
      </c>
      <c r="D17" s="33" t="s">
        <v>84</v>
      </c>
      <c r="E17" s="33" t="s">
        <v>83</v>
      </c>
      <c r="F17" s="34">
        <v>57169</v>
      </c>
      <c r="G17" s="34">
        <v>11434</v>
      </c>
      <c r="H17" s="34">
        <v>7772</v>
      </c>
      <c r="I17" s="34">
        <v>4244</v>
      </c>
      <c r="J17" s="34">
        <f t="shared" si="0"/>
        <v>72131</v>
      </c>
      <c r="K17" s="35">
        <v>4</v>
      </c>
    </row>
    <row r="18" spans="1:11" ht="15.75" x14ac:dyDescent="0.25">
      <c r="A18" s="32" t="s">
        <v>105</v>
      </c>
      <c r="B18" s="33" t="s">
        <v>104</v>
      </c>
      <c r="C18" s="33" t="s">
        <v>81</v>
      </c>
      <c r="D18" s="33" t="s">
        <v>80</v>
      </c>
      <c r="E18" s="33" t="s">
        <v>79</v>
      </c>
      <c r="F18" s="34">
        <v>46679</v>
      </c>
      <c r="G18" s="34">
        <v>9336</v>
      </c>
      <c r="H18" s="34">
        <v>6267</v>
      </c>
      <c r="I18" s="34">
        <v>2044</v>
      </c>
      <c r="J18" s="34">
        <f t="shared" si="0"/>
        <v>60238</v>
      </c>
      <c r="K18" s="35">
        <v>1</v>
      </c>
    </row>
    <row r="19" spans="1:11" ht="15.75" x14ac:dyDescent="0.25">
      <c r="A19" s="32" t="s">
        <v>103</v>
      </c>
      <c r="B19" s="33" t="s">
        <v>102</v>
      </c>
      <c r="C19" s="33" t="s">
        <v>76</v>
      </c>
      <c r="D19" s="33" t="s">
        <v>75</v>
      </c>
      <c r="E19" s="33" t="s">
        <v>74</v>
      </c>
      <c r="F19" s="34">
        <v>28241</v>
      </c>
      <c r="G19" s="34">
        <v>5648</v>
      </c>
      <c r="H19" s="34">
        <v>7686</v>
      </c>
      <c r="I19" s="34">
        <v>1111</v>
      </c>
      <c r="J19" s="34">
        <f t="shared" si="0"/>
        <v>40464</v>
      </c>
      <c r="K19" s="35">
        <v>3</v>
      </c>
    </row>
    <row r="20" spans="1:11" ht="15.75" x14ac:dyDescent="0.25">
      <c r="A20" s="32" t="s">
        <v>101</v>
      </c>
      <c r="B20" s="33" t="s">
        <v>100</v>
      </c>
      <c r="C20" s="33" t="s">
        <v>71</v>
      </c>
      <c r="D20" s="33" t="s">
        <v>70</v>
      </c>
      <c r="E20" s="33" t="s">
        <v>69</v>
      </c>
      <c r="F20" s="34">
        <v>64570</v>
      </c>
      <c r="G20" s="34">
        <v>12914</v>
      </c>
      <c r="H20" s="34">
        <v>4177</v>
      </c>
      <c r="I20" s="34">
        <v>2721</v>
      </c>
      <c r="J20" s="34">
        <f t="shared" si="0"/>
        <v>78940</v>
      </c>
      <c r="K20" s="35">
        <v>3</v>
      </c>
    </row>
    <row r="21" spans="1:11" ht="15.75" x14ac:dyDescent="0.25">
      <c r="A21" s="32" t="s">
        <v>99</v>
      </c>
      <c r="B21" s="33" t="s">
        <v>98</v>
      </c>
      <c r="C21" s="33" t="s">
        <v>67</v>
      </c>
      <c r="D21" s="33" t="s">
        <v>66</v>
      </c>
      <c r="E21" s="33" t="s">
        <v>65</v>
      </c>
      <c r="F21" s="34">
        <v>43809</v>
      </c>
      <c r="G21" s="34">
        <v>8762</v>
      </c>
      <c r="H21" s="34">
        <v>3640</v>
      </c>
      <c r="I21" s="34">
        <v>2782</v>
      </c>
      <c r="J21" s="34">
        <f t="shared" si="0"/>
        <v>53429</v>
      </c>
      <c r="K21" s="35">
        <v>8</v>
      </c>
    </row>
    <row r="22" spans="1:11" ht="15.75" x14ac:dyDescent="0.25">
      <c r="A22" s="32" t="s">
        <v>97</v>
      </c>
      <c r="B22" s="33" t="s">
        <v>96</v>
      </c>
      <c r="C22" s="33" t="s">
        <v>85</v>
      </c>
      <c r="D22" s="33" t="s">
        <v>84</v>
      </c>
      <c r="E22" s="33" t="s">
        <v>83</v>
      </c>
      <c r="F22" s="34">
        <v>31852</v>
      </c>
      <c r="G22" s="34">
        <v>6370</v>
      </c>
      <c r="H22" s="34">
        <v>6586</v>
      </c>
      <c r="I22" s="34">
        <v>3335</v>
      </c>
      <c r="J22" s="34">
        <f t="shared" si="0"/>
        <v>41473</v>
      </c>
      <c r="K22" s="35">
        <v>10</v>
      </c>
    </row>
    <row r="23" spans="1:11" ht="15.75" x14ac:dyDescent="0.25">
      <c r="A23" s="32" t="s">
        <v>95</v>
      </c>
      <c r="B23" s="33" t="s">
        <v>94</v>
      </c>
      <c r="C23" s="33" t="s">
        <v>81</v>
      </c>
      <c r="D23" s="33" t="s">
        <v>80</v>
      </c>
      <c r="E23" s="33" t="s">
        <v>79</v>
      </c>
      <c r="F23" s="34">
        <v>44902</v>
      </c>
      <c r="G23" s="34">
        <v>8980</v>
      </c>
      <c r="H23" s="34">
        <v>8229</v>
      </c>
      <c r="I23" s="34">
        <v>1160</v>
      </c>
      <c r="J23" s="34">
        <f t="shared" si="0"/>
        <v>60951</v>
      </c>
      <c r="K23" s="35">
        <v>7</v>
      </c>
    </row>
    <row r="24" spans="1:11" ht="15.75" x14ac:dyDescent="0.25">
      <c r="A24" s="32" t="s">
        <v>93</v>
      </c>
      <c r="B24" s="33" t="s">
        <v>92</v>
      </c>
      <c r="C24" s="33" t="s">
        <v>76</v>
      </c>
      <c r="D24" s="33" t="s">
        <v>75</v>
      </c>
      <c r="E24" s="33" t="s">
        <v>74</v>
      </c>
      <c r="F24" s="34">
        <v>56257</v>
      </c>
      <c r="G24" s="34">
        <v>11251</v>
      </c>
      <c r="H24" s="34">
        <v>6820</v>
      </c>
      <c r="I24" s="34">
        <v>1380</v>
      </c>
      <c r="J24" s="34">
        <f t="shared" si="0"/>
        <v>72948</v>
      </c>
      <c r="K24" s="35">
        <v>7</v>
      </c>
    </row>
    <row r="25" spans="1:11" ht="15.75" x14ac:dyDescent="0.25">
      <c r="A25" s="32" t="s">
        <v>91</v>
      </c>
      <c r="B25" s="33" t="s">
        <v>90</v>
      </c>
      <c r="C25" s="33" t="s">
        <v>71</v>
      </c>
      <c r="D25" s="33" t="s">
        <v>70</v>
      </c>
      <c r="E25" s="33" t="s">
        <v>69</v>
      </c>
      <c r="F25" s="34">
        <v>41041</v>
      </c>
      <c r="G25" s="34">
        <v>8208</v>
      </c>
      <c r="H25" s="34">
        <v>6752</v>
      </c>
      <c r="I25" s="34">
        <v>3281</v>
      </c>
      <c r="J25" s="34">
        <f t="shared" si="0"/>
        <v>52720</v>
      </c>
      <c r="K25" s="35">
        <v>6</v>
      </c>
    </row>
    <row r="26" spans="1:11" ht="15.75" x14ac:dyDescent="0.25">
      <c r="A26" s="32" t="s">
        <v>89</v>
      </c>
      <c r="B26" s="33" t="s">
        <v>88</v>
      </c>
      <c r="C26" s="33" t="s">
        <v>67</v>
      </c>
      <c r="D26" s="33" t="s">
        <v>66</v>
      </c>
      <c r="E26" s="33" t="s">
        <v>65</v>
      </c>
      <c r="F26" s="34">
        <v>52148</v>
      </c>
      <c r="G26" s="34">
        <v>10430</v>
      </c>
      <c r="H26" s="34">
        <v>7227</v>
      </c>
      <c r="I26" s="34">
        <v>4013</v>
      </c>
      <c r="J26" s="34">
        <f t="shared" si="0"/>
        <v>65792</v>
      </c>
      <c r="K26" s="35">
        <v>7</v>
      </c>
    </row>
    <row r="27" spans="1:11" ht="15.75" x14ac:dyDescent="0.25">
      <c r="A27" s="32" t="s">
        <v>87</v>
      </c>
      <c r="B27" s="33" t="s">
        <v>86</v>
      </c>
      <c r="C27" s="33" t="s">
        <v>85</v>
      </c>
      <c r="D27" s="33" t="s">
        <v>84</v>
      </c>
      <c r="E27" s="33" t="s">
        <v>83</v>
      </c>
      <c r="F27" s="34">
        <v>64918</v>
      </c>
      <c r="G27" s="34">
        <v>12984</v>
      </c>
      <c r="H27" s="34">
        <v>3318</v>
      </c>
      <c r="I27" s="34">
        <v>1070</v>
      </c>
      <c r="J27" s="34">
        <f t="shared" si="0"/>
        <v>80150</v>
      </c>
      <c r="K27" s="35">
        <v>12</v>
      </c>
    </row>
    <row r="28" spans="1:11" ht="15.75" x14ac:dyDescent="0.25">
      <c r="A28" s="32" t="s">
        <v>82</v>
      </c>
      <c r="B28" s="33" t="s">
        <v>29</v>
      </c>
      <c r="C28" s="33" t="s">
        <v>81</v>
      </c>
      <c r="D28" s="33" t="s">
        <v>80</v>
      </c>
      <c r="E28" s="33" t="s">
        <v>79</v>
      </c>
      <c r="F28" s="34">
        <v>38185</v>
      </c>
      <c r="G28" s="34">
        <v>7637</v>
      </c>
      <c r="H28" s="34">
        <v>2253</v>
      </c>
      <c r="I28" s="34">
        <v>4267</v>
      </c>
      <c r="J28" s="34">
        <f t="shared" si="0"/>
        <v>43808</v>
      </c>
      <c r="K28" s="35">
        <v>1</v>
      </c>
    </row>
    <row r="29" spans="1:11" ht="15.75" x14ac:dyDescent="0.25">
      <c r="A29" s="32" t="s">
        <v>78</v>
      </c>
      <c r="B29" s="33" t="s">
        <v>77</v>
      </c>
      <c r="C29" s="33" t="s">
        <v>76</v>
      </c>
      <c r="D29" s="33" t="s">
        <v>75</v>
      </c>
      <c r="E29" s="33" t="s">
        <v>74</v>
      </c>
      <c r="F29" s="34">
        <v>32783</v>
      </c>
      <c r="G29" s="34">
        <v>6557</v>
      </c>
      <c r="H29" s="34">
        <v>5403</v>
      </c>
      <c r="I29" s="34">
        <v>3191</v>
      </c>
      <c r="J29" s="34">
        <f t="shared" si="0"/>
        <v>41552</v>
      </c>
      <c r="K29" s="35">
        <v>4</v>
      </c>
    </row>
    <row r="30" spans="1:11" ht="15.75" x14ac:dyDescent="0.25">
      <c r="A30" s="32" t="s">
        <v>73</v>
      </c>
      <c r="B30" s="33" t="s">
        <v>72</v>
      </c>
      <c r="C30" s="33" t="s">
        <v>71</v>
      </c>
      <c r="D30" s="33" t="s">
        <v>70</v>
      </c>
      <c r="E30" s="33" t="s">
        <v>69</v>
      </c>
      <c r="F30" s="34">
        <v>52869</v>
      </c>
      <c r="G30" s="34">
        <v>10574</v>
      </c>
      <c r="H30" s="34">
        <v>8491</v>
      </c>
      <c r="I30" s="34">
        <v>1402</v>
      </c>
      <c r="J30" s="34">
        <f t="shared" si="0"/>
        <v>70532</v>
      </c>
      <c r="K30" s="35">
        <v>12</v>
      </c>
    </row>
    <row r="31" spans="1:11" ht="15.75" x14ac:dyDescent="0.25">
      <c r="A31" s="36" t="s">
        <v>68</v>
      </c>
      <c r="B31" s="37" t="s">
        <v>9</v>
      </c>
      <c r="C31" s="37" t="s">
        <v>67</v>
      </c>
      <c r="D31" s="37" t="s">
        <v>66</v>
      </c>
      <c r="E31" s="37" t="s">
        <v>65</v>
      </c>
      <c r="F31" s="38">
        <v>51145</v>
      </c>
      <c r="G31" s="38">
        <v>10229</v>
      </c>
      <c r="H31" s="38">
        <v>3547</v>
      </c>
      <c r="I31" s="38">
        <v>2278</v>
      </c>
      <c r="J31" s="38">
        <f t="shared" si="0"/>
        <v>62643</v>
      </c>
      <c r="K31" s="39">
        <v>5</v>
      </c>
    </row>
  </sheetData>
  <conditionalFormatting sqref="J2:J31">
    <cfRule type="cellIs" dxfId="67" priority="2" operator="greaterThan">
      <formula>50000</formula>
    </cfRule>
    <cfRule type="cellIs" dxfId="68" priority="1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CFAE-816A-4791-B936-186299282935}">
  <dimension ref="A1:H13"/>
  <sheetViews>
    <sheetView workbookViewId="0">
      <selection activeCell="F16" sqref="F16"/>
    </sheetView>
  </sheetViews>
  <sheetFormatPr defaultRowHeight="15" x14ac:dyDescent="0.25"/>
  <cols>
    <col min="1" max="1" width="26" bestFit="1" customWidth="1"/>
    <col min="2" max="2" width="23" bestFit="1" customWidth="1"/>
    <col min="3" max="3" width="20.85546875" bestFit="1" customWidth="1"/>
    <col min="4" max="4" width="26.140625" bestFit="1" customWidth="1"/>
    <col min="6" max="6" width="20.85546875" bestFit="1" customWidth="1"/>
    <col min="7" max="7" width="29.7109375" bestFit="1" customWidth="1"/>
    <col min="8" max="8" width="30.5703125" bestFit="1" customWidth="1"/>
  </cols>
  <sheetData>
    <row r="1" spans="1:8" s="20" customFormat="1" ht="21" customHeight="1" x14ac:dyDescent="0.3">
      <c r="A1" s="30" t="s">
        <v>149</v>
      </c>
      <c r="B1" s="31"/>
      <c r="C1" s="18"/>
      <c r="D1" s="18"/>
      <c r="E1" s="18"/>
      <c r="F1" s="29" t="s">
        <v>158</v>
      </c>
      <c r="G1" s="29"/>
      <c r="H1" s="29"/>
    </row>
    <row r="2" spans="1:8" ht="18.75" x14ac:dyDescent="0.3">
      <c r="A2" s="26" t="s">
        <v>150</v>
      </c>
      <c r="B2" s="27">
        <f>MAX([1]Q2_Employees!J2:J31)</f>
        <v>80150</v>
      </c>
      <c r="C2" s="16"/>
      <c r="D2" s="16"/>
      <c r="E2" s="16"/>
      <c r="F2" s="29"/>
      <c r="G2" s="29"/>
      <c r="H2" s="29"/>
    </row>
    <row r="3" spans="1:8" ht="18.75" x14ac:dyDescent="0.3">
      <c r="A3" s="26" t="s">
        <v>151</v>
      </c>
      <c r="B3" s="27">
        <f>MIN([1]Q2_Employees!J2:J31)</f>
        <v>39145</v>
      </c>
      <c r="F3" s="21" t="s">
        <v>61</v>
      </c>
      <c r="G3" s="22" t="s">
        <v>156</v>
      </c>
      <c r="H3" s="22" t="s">
        <v>157</v>
      </c>
    </row>
    <row r="4" spans="1:8" ht="18.75" x14ac:dyDescent="0.3">
      <c r="A4" s="26" t="s">
        <v>152</v>
      </c>
      <c r="B4" s="27">
        <f>AVERAGE([1]Q2_Employees!J2:J31)</f>
        <v>58407.433333333334</v>
      </c>
      <c r="F4" s="23" t="s">
        <v>76</v>
      </c>
      <c r="G4" s="24">
        <v>60652</v>
      </c>
      <c r="H4" s="25">
        <v>6</v>
      </c>
    </row>
    <row r="5" spans="1:8" ht="18.75" x14ac:dyDescent="0.3">
      <c r="F5" s="23" t="s">
        <v>81</v>
      </c>
      <c r="G5" s="24">
        <v>59638</v>
      </c>
      <c r="H5" s="25">
        <v>6</v>
      </c>
    </row>
    <row r="6" spans="1:8" ht="18.75" x14ac:dyDescent="0.3">
      <c r="F6" s="23" t="s">
        <v>85</v>
      </c>
      <c r="G6" s="24">
        <v>58823.833333333336</v>
      </c>
      <c r="H6" s="25">
        <v>6</v>
      </c>
    </row>
    <row r="7" spans="1:8" ht="18.75" x14ac:dyDescent="0.3">
      <c r="F7" s="23" t="s">
        <v>67</v>
      </c>
      <c r="G7" s="24">
        <v>54689</v>
      </c>
      <c r="H7" s="25">
        <v>6</v>
      </c>
    </row>
    <row r="8" spans="1:8" s="17" customFormat="1" ht="18.75" x14ac:dyDescent="0.3">
      <c r="A8" s="28" t="s">
        <v>145</v>
      </c>
      <c r="B8" s="28" t="s">
        <v>155</v>
      </c>
      <c r="C8" s="28" t="s">
        <v>154</v>
      </c>
      <c r="D8" s="28" t="s">
        <v>153</v>
      </c>
      <c r="F8" s="23" t="s">
        <v>71</v>
      </c>
      <c r="G8" s="24">
        <v>58234.333333333336</v>
      </c>
      <c r="H8" s="25">
        <v>6</v>
      </c>
    </row>
    <row r="9" spans="1:8" ht="18.75" x14ac:dyDescent="0.3">
      <c r="A9" s="23" t="s">
        <v>85</v>
      </c>
      <c r="B9" s="23">
        <f>COUNTIF([1]Q2_Employees!C2:C31,A9)</f>
        <v>6</v>
      </c>
      <c r="C9" s="24">
        <f>AVERAGEIF('Q2. Employees'!C2:C31,"IT",'Q2. Employees'!J2:J31)</f>
        <v>58823.833333333336</v>
      </c>
      <c r="D9" s="24">
        <f>SUMIF('Q2. Employees'!C2:C31,"IT",'Q2. Employees'!J2:J31)</f>
        <v>352943</v>
      </c>
      <c r="F9" s="23" t="s">
        <v>62</v>
      </c>
      <c r="G9" s="24">
        <v>58407.433333333334</v>
      </c>
      <c r="H9" s="25">
        <v>30</v>
      </c>
    </row>
    <row r="10" spans="1:8" ht="18.75" x14ac:dyDescent="0.3">
      <c r="A10" s="23" t="s">
        <v>81</v>
      </c>
      <c r="B10" s="23">
        <f>COUNTIF([1]Q2_Employees!C2:C31,A10)</f>
        <v>6</v>
      </c>
      <c r="C10" s="24">
        <f>AVERAGEIF('Q2. Employees'!C2:C31,"HR",'Q2. Employees'!J2:J31)</f>
        <v>59638</v>
      </c>
      <c r="D10" s="24">
        <f>SUMIF('Q2. Employees'!C2:C31,"HR",'Q2. Employees'!J2:J31)</f>
        <v>357828</v>
      </c>
    </row>
    <row r="11" spans="1:8" ht="18.75" x14ac:dyDescent="0.3">
      <c r="A11" s="23" t="s">
        <v>76</v>
      </c>
      <c r="B11" s="23">
        <f>COUNTIF([1]Q2_Employees!C2:C31,A11)</f>
        <v>6</v>
      </c>
      <c r="C11" s="24">
        <f>AVERAGEIF('Q2. Employees'!C2:C31,"Finance",'Q2. Employees'!J2:J31)</f>
        <v>60652</v>
      </c>
      <c r="D11" s="24">
        <f>SUMIF('Q2. Employees'!C2:C31,"Finance",'Q2. Employees'!J2:J31)</f>
        <v>363912</v>
      </c>
    </row>
    <row r="12" spans="1:8" ht="18.75" x14ac:dyDescent="0.3">
      <c r="A12" s="23" t="s">
        <v>71</v>
      </c>
      <c r="B12" s="23">
        <f>COUNTIF([1]Q2_Employees!C2:C31,A12)</f>
        <v>6</v>
      </c>
      <c r="C12" s="24">
        <f>AVERAGEIF('Q2. Employees'!C2:C31,"Sales",'Q2. Employees'!J2:J31)</f>
        <v>58234.333333333336</v>
      </c>
      <c r="D12" s="24">
        <f>SUMIF('Q2. Employees'!C2:C31,"Sales",'Q2. Employees'!J2:J31)</f>
        <v>349406</v>
      </c>
    </row>
    <row r="13" spans="1:8" ht="18.75" x14ac:dyDescent="0.3">
      <c r="A13" s="23" t="s">
        <v>67</v>
      </c>
      <c r="B13" s="23">
        <f>COUNTIF([1]Q2_Employees!C2:C31,A13)</f>
        <v>6</v>
      </c>
      <c r="C13" s="24">
        <f>AVERAGEIF('Q2. Employees'!C2:C31,"Operations",'Q2. Employees'!J2:J31)</f>
        <v>54689</v>
      </c>
      <c r="D13" s="24">
        <f>SUMIF('Q2. Employees'!C2:C31,"Operations",'Q2. Employees'!J2:J31)</f>
        <v>328134</v>
      </c>
    </row>
  </sheetData>
  <mergeCells count="2">
    <mergeCell ref="A1:B1"/>
    <mergeCell ref="F1:H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Q1. Students</vt:lpstr>
      <vt:lpstr>Q1. Summary</vt:lpstr>
      <vt:lpstr>Q2. Employees</vt:lpstr>
      <vt:lpstr>Q2.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Maurya</dc:creator>
  <cp:lastModifiedBy>Khushi Maurya</cp:lastModifiedBy>
  <dcterms:created xsi:type="dcterms:W3CDTF">2026-09-17T03:54:04Z</dcterms:created>
  <dcterms:modified xsi:type="dcterms:W3CDTF">2026-09-17T06:58:17Z</dcterms:modified>
</cp:coreProperties>
</file>