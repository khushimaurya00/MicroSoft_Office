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4A3A4D48-B9E1-4E2E-991D-62BCC4E9EC51}" xr6:coauthVersionLast="47" xr6:coauthVersionMax="47" xr10:uidLastSave="{00000000-0000-0000-0000-000000000000}"/>
  <bookViews>
    <workbookView xWindow="-120" yWindow="-120" windowWidth="29040" windowHeight="15720" tabRatio="657" activeTab="1" xr2:uid="{2C56A52A-2F92-4C74-A053-23CA2CD8501B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1" i="2"/>
  <c r="B10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B12" i="2"/>
  <c r="B13" i="2"/>
  <c r="B6" i="2"/>
  <c r="B5" i="2"/>
  <c r="B4" i="2"/>
  <c r="B3" i="2"/>
  <c r="B2" i="2"/>
  <c r="I2" i="1"/>
  <c r="J2" i="1"/>
  <c r="K2" i="1"/>
  <c r="L2" i="1"/>
  <c r="I3" i="1"/>
  <c r="J3" i="1"/>
  <c r="K3" i="1"/>
  <c r="L3" i="1"/>
  <c r="I4" i="1"/>
  <c r="J4" i="1" s="1"/>
  <c r="I5" i="1"/>
  <c r="J5" i="1" s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 s="1"/>
  <c r="L29" i="1"/>
  <c r="I30" i="1"/>
  <c r="J30" i="1"/>
  <c r="L30" i="1" s="1"/>
  <c r="K30" i="1"/>
  <c r="I31" i="1"/>
  <c r="J31" i="1"/>
  <c r="K31" i="1"/>
  <c r="L31" i="1"/>
  <c r="K4" i="1" l="1"/>
  <c r="L4" i="1"/>
  <c r="L5" i="1"/>
  <c r="K5" i="1"/>
</calcChain>
</file>

<file path=xl/sharedStrings.xml><?xml version="1.0" encoding="utf-8"?>
<sst xmlns="http://schemas.openxmlformats.org/spreadsheetml/2006/main" count="286" uniqueCount="149">
  <si>
    <t>Female</t>
  </si>
  <si>
    <t>Welder</t>
  </si>
  <si>
    <t>Yash</t>
  </si>
  <si>
    <t>Male</t>
  </si>
  <si>
    <t>Fitter</t>
  </si>
  <si>
    <t>Vansh</t>
  </si>
  <si>
    <t>Electrician</t>
  </si>
  <si>
    <t>Tanmay</t>
  </si>
  <si>
    <t>COPA</t>
  </si>
  <si>
    <t>Simran</t>
  </si>
  <si>
    <t>AIPA</t>
  </si>
  <si>
    <t>Shivam</t>
  </si>
  <si>
    <t>Sakshi</t>
  </si>
  <si>
    <t>Rohan</t>
  </si>
  <si>
    <t>Riya</t>
  </si>
  <si>
    <t>Rahul</t>
  </si>
  <si>
    <t>Priya</t>
  </si>
  <si>
    <t>Pallavi</t>
  </si>
  <si>
    <t>Nikhil</t>
  </si>
  <si>
    <t>Neha</t>
  </si>
  <si>
    <t>Nandini</t>
  </si>
  <si>
    <t>Mohit</t>
  </si>
  <si>
    <t>Meera</t>
  </si>
  <si>
    <t>Manish</t>
  </si>
  <si>
    <t>Kavya</t>
  </si>
  <si>
    <t>Karan</t>
  </si>
  <si>
    <t>Isha</t>
  </si>
  <si>
    <t>Harsh</t>
  </si>
  <si>
    <t>Diya</t>
  </si>
  <si>
    <t>Deepak</t>
  </si>
  <si>
    <t>Chandan</t>
  </si>
  <si>
    <t>Bhavna</t>
  </si>
  <si>
    <t>Ayush</t>
  </si>
  <si>
    <t>Anjali</t>
  </si>
  <si>
    <t>Aditya</t>
  </si>
  <si>
    <t>Ananya</t>
  </si>
  <si>
    <t>Aarav</t>
  </si>
  <si>
    <t>Result</t>
  </si>
  <si>
    <t>Grade</t>
  </si>
  <si>
    <t>Percentage</t>
  </si>
  <si>
    <t>Total Marks</t>
  </si>
  <si>
    <t>Theory Marks</t>
  </si>
  <si>
    <t>Practical Marks</t>
  </si>
  <si>
    <t>Internal Marks</t>
  </si>
  <si>
    <t>Attendance %</t>
  </si>
  <si>
    <t>Gender</t>
  </si>
  <si>
    <t>Trade</t>
  </si>
  <si>
    <t>Student Name</t>
  </si>
  <si>
    <t>Roll No.</t>
  </si>
  <si>
    <t>Q1 – Student Performance Analysis</t>
  </si>
  <si>
    <t>Highest Percentage</t>
  </si>
  <si>
    <t>Lowest Percentage</t>
  </si>
  <si>
    <t>Average Percentage</t>
  </si>
  <si>
    <t>Passed Students</t>
  </si>
  <si>
    <t>Failed Students</t>
  </si>
  <si>
    <t>E</t>
  </si>
  <si>
    <t>D</t>
  </si>
  <si>
    <t>C</t>
  </si>
  <si>
    <t>B</t>
  </si>
  <si>
    <t>A</t>
  </si>
  <si>
    <t>Student Count</t>
  </si>
  <si>
    <t>Row Labels</t>
  </si>
  <si>
    <t>Grand Total</t>
  </si>
  <si>
    <t>Average of Percentage</t>
  </si>
  <si>
    <t>Count of Roll No.</t>
  </si>
  <si>
    <t>Noida</t>
  </si>
  <si>
    <t>Supervisor</t>
  </si>
  <si>
    <t>Operations</t>
  </si>
  <si>
    <t>E030</t>
  </si>
  <si>
    <t>Kanpur</t>
  </si>
  <si>
    <t>Officer</t>
  </si>
  <si>
    <t>Sales</t>
  </si>
  <si>
    <t>Raj</t>
  </si>
  <si>
    <t>E029</t>
  </si>
  <si>
    <t>Varanasi</t>
  </si>
  <si>
    <t>Analyst</t>
  </si>
  <si>
    <t>Finance</t>
  </si>
  <si>
    <t>Tanya</t>
  </si>
  <si>
    <t>E028</t>
  </si>
  <si>
    <t>Lucknow</t>
  </si>
  <si>
    <t>Assistant</t>
  </si>
  <si>
    <t>HR</t>
  </si>
  <si>
    <t>E027</t>
  </si>
  <si>
    <t>Prayagraj</t>
  </si>
  <si>
    <t>Executive</t>
  </si>
  <si>
    <t>IT</t>
  </si>
  <si>
    <t>Muskan</t>
  </si>
  <si>
    <t>E026</t>
  </si>
  <si>
    <t>Ankit</t>
  </si>
  <si>
    <t>E025</t>
  </si>
  <si>
    <t>Swati</t>
  </si>
  <si>
    <t>E024</t>
  </si>
  <si>
    <t>Nitin</t>
  </si>
  <si>
    <t>E023</t>
  </si>
  <si>
    <t>Aarti</t>
  </si>
  <si>
    <t>E022</t>
  </si>
  <si>
    <t>Varun</t>
  </si>
  <si>
    <t>E021</t>
  </si>
  <si>
    <t>Rashmi</t>
  </si>
  <si>
    <t>E020</t>
  </si>
  <si>
    <t>Gaurav</t>
  </si>
  <si>
    <t>E019</t>
  </si>
  <si>
    <t>Preeti</t>
  </si>
  <si>
    <t>E018</t>
  </si>
  <si>
    <t>Akash</t>
  </si>
  <si>
    <t>E017</t>
  </si>
  <si>
    <t>Kritika</t>
  </si>
  <si>
    <t>E016</t>
  </si>
  <si>
    <t>Manoj</t>
  </si>
  <si>
    <t>E015</t>
  </si>
  <si>
    <t>Shreya</t>
  </si>
  <si>
    <t>E014</t>
  </si>
  <si>
    <t>Rohit</t>
  </si>
  <si>
    <t>E013</t>
  </si>
  <si>
    <t>Payal</t>
  </si>
  <si>
    <t>E012</t>
  </si>
  <si>
    <t>Vivek</t>
  </si>
  <si>
    <t>E011</t>
  </si>
  <si>
    <t>Nisha</t>
  </si>
  <si>
    <t>E010</t>
  </si>
  <si>
    <t>Suresh</t>
  </si>
  <si>
    <t>E009</t>
  </si>
  <si>
    <t>Komal</t>
  </si>
  <si>
    <t>E008</t>
  </si>
  <si>
    <t>Arjun</t>
  </si>
  <si>
    <t>E007</t>
  </si>
  <si>
    <t>Sneha</t>
  </si>
  <si>
    <t>E006</t>
  </si>
  <si>
    <t>Ravi</t>
  </si>
  <si>
    <t>E005</t>
  </si>
  <si>
    <t>E004</t>
  </si>
  <si>
    <t>Vikas</t>
  </si>
  <si>
    <t>E003</t>
  </si>
  <si>
    <t>Pooja</t>
  </si>
  <si>
    <t>E002</t>
  </si>
  <si>
    <t>Amit</t>
  </si>
  <si>
    <t>E001</t>
  </si>
  <si>
    <t>Experience (Years)</t>
  </si>
  <si>
    <t>Net Salary</t>
  </si>
  <si>
    <t>Deduction</t>
  </si>
  <si>
    <t>Allowance</t>
  </si>
  <si>
    <t>HRA</t>
  </si>
  <si>
    <t>Basic Salary</t>
  </si>
  <si>
    <t>City</t>
  </si>
  <si>
    <t>Designation</t>
  </si>
  <si>
    <t>Department</t>
  </si>
  <si>
    <t>Employee Name</t>
  </si>
  <si>
    <t>Employee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</si>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</sst>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2"/>
      <color rgb="FFFFFFFF"/>
      <name val="Book Antiqua"/>
      <family val="1"/>
    </font>
    <font>
      <sz val="12"/>
      <color rgb="FFFFFFFF"/>
      <name val="Arial Black"/>
      <family val="2"/>
    </font>
    <font>
      <sz val="12"/>
      <color theme="1"/>
      <name val="Arial Black"/>
      <family val="2"/>
    </font>
    <font>
      <b/>
      <sz val="11"/>
      <name val="Calibri"/>
      <family val="2"/>
    </font>
    <font>
      <sz val="11"/>
      <name val="Bookman Old Style"/>
      <family val="1"/>
    </font>
    <font>
      <sz val="11"/>
      <color theme="1"/>
      <name val="Bookman Old Style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sz val="12"/>
      <name val="Arial Black"/>
      <family val="2"/>
    </font>
    <font>
      <sz val="12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/>
    <xf numFmtId="0" fontId="3" fillId="2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20"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sz val="12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sz val="12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sz val="12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fill>
        <patternFill patternType="solid">
          <fgColor indexed="64"/>
          <bgColor rgb="FF5B9BD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practical Questions.xlsx]Sheet2!PivotTable2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Average of 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Sheet2!$D$2:$D$7</c:f>
              <c:strCache>
                <c:ptCount val="5"/>
                <c:pt idx="0">
                  <c:v>AIPA</c:v>
                </c:pt>
                <c:pt idx="1">
                  <c:v>COPA</c:v>
                </c:pt>
                <c:pt idx="2">
                  <c:v>Electrician</c:v>
                </c:pt>
                <c:pt idx="3">
                  <c:v>Fitter</c:v>
                </c:pt>
                <c:pt idx="4">
                  <c:v>Welder</c:v>
                </c:pt>
              </c:strCache>
            </c:strRef>
          </c:cat>
          <c:val>
            <c:numRef>
              <c:f>Sheet2!$E$2:$E$7</c:f>
              <c:numCache>
                <c:formatCode>0.00</c:formatCode>
                <c:ptCount val="5"/>
                <c:pt idx="0">
                  <c:v>81.052631578947384</c:v>
                </c:pt>
                <c:pt idx="1">
                  <c:v>78.421052631578945</c:v>
                </c:pt>
                <c:pt idx="2">
                  <c:v>80</c:v>
                </c:pt>
                <c:pt idx="3">
                  <c:v>78.421052631578959</c:v>
                </c:pt>
                <c:pt idx="4">
                  <c:v>74.21052631578948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2-4B17-9661-B462B3B0CB5B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Count of Roll No.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Sheet2!$D$2:$D$7</c:f>
              <c:strCache>
                <c:ptCount val="5"/>
                <c:pt idx="0">
                  <c:v>AIPA</c:v>
                </c:pt>
                <c:pt idx="1">
                  <c:v>COPA</c:v>
                </c:pt>
                <c:pt idx="2">
                  <c:v>Electrician</c:v>
                </c:pt>
                <c:pt idx="3">
                  <c:v>Fitter</c:v>
                </c:pt>
                <c:pt idx="4">
                  <c:v>Welder</c:v>
                </c:pt>
              </c:strCache>
            </c:strRef>
          </c:cat>
          <c:val>
            <c:numRef>
              <c:f>Sheet2!$F$2:$F$7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2-4B17-9661-B462B3B0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4190015"/>
        <c:axId val="1526371407"/>
      </c:barChart>
      <c:catAx>
        <c:axId val="162419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71407"/>
        <c:crosses val="autoZero"/>
        <c:auto val="1"/>
        <c:lblAlgn val="ctr"/>
        <c:lblOffset val="100"/>
        <c:noMultiLvlLbl val="0"/>
      </c:catAx>
      <c:valAx>
        <c:axId val="15263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9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7</xdr:row>
      <xdr:rowOff>180975</xdr:rowOff>
    </xdr:from>
    <xdr:to>
      <xdr:col>6</xdr:col>
      <xdr:colOff>0</xdr:colOff>
      <xdr:row>22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06290A-D1D9-4FEF-84C6-2F63781B5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aurya" refreshedDate="46282.412172916665" createdVersion="8" refreshedVersion="8" minRefreshableVersion="3" recordCount="30" xr:uid="{4629E24C-3DC7-489B-9576-9B844D328148}">
  <cacheSource type="worksheet">
    <worksheetSource name="Table2"/>
  </cacheSource>
  <cacheFields count="12">
    <cacheField name="Roll No." numFmtId="0">
      <sharedItems containsSemiMixedTypes="0" containsString="0" containsNumber="1" containsInteger="1" minValue="1" maxValue="30"/>
    </cacheField>
    <cacheField name="Student Name" numFmtId="0">
      <sharedItems/>
    </cacheField>
    <cacheField name="Trade" numFmtId="0">
      <sharedItems count="5">
        <s v="AIPA"/>
        <s v="COPA"/>
        <s v="Electrician"/>
        <s v="Fitter"/>
        <s v="Welder"/>
      </sharedItems>
    </cacheField>
    <cacheField name="Gender" numFmtId="0">
      <sharedItems/>
    </cacheField>
    <cacheField name="Attendance %" numFmtId="1">
      <sharedItems containsSemiMixedTypes="0" containsString="0" containsNumber="1" containsInteger="1" minValue="72" maxValue="98"/>
    </cacheField>
    <cacheField name="Internal Marks" numFmtId="0">
      <sharedItems containsSemiMixedTypes="0" containsString="0" containsNumber="1" containsInteger="1" minValue="14" maxValue="25"/>
    </cacheField>
    <cacheField name="Practical Marks" numFmtId="0">
      <sharedItems containsSemiMixedTypes="0" containsString="0" containsNumber="1" containsInteger="1" minValue="18" maxValue="29"/>
    </cacheField>
    <cacheField name="Theory Marks" numFmtId="0">
      <sharedItems containsSemiMixedTypes="0" containsString="0" containsNumber="1" containsInteger="1" minValue="20" maxValue="39"/>
    </cacheField>
    <cacheField name="Total Marks" numFmtId="0">
      <sharedItems containsSemiMixedTypes="0" containsString="0" containsNumber="1" containsInteger="1" minValue="54" maxValue="89"/>
    </cacheField>
    <cacheField name="Percentage" numFmtId="2">
      <sharedItems containsSemiMixedTypes="0" containsString="0" containsNumber="1" minValue="56.84210526315789" maxValue="93.684210526315795"/>
    </cacheField>
    <cacheField name="Grade" numFmtId="0">
      <sharedItems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arav"/>
    <x v="0"/>
    <s v="Male"/>
    <n v="87"/>
    <n v="18"/>
    <n v="28"/>
    <n v="36"/>
    <n v="82"/>
    <n v="86.31578947368422"/>
    <s v="A"/>
    <s v="Pass"/>
  </r>
  <r>
    <n v="2"/>
    <s v="Ananya"/>
    <x v="1"/>
    <s v="Female"/>
    <n v="93"/>
    <n v="19"/>
    <n v="20"/>
    <n v="32"/>
    <n v="71"/>
    <n v="74.73684210526315"/>
    <s v="B"/>
    <s v="Pass"/>
  </r>
  <r>
    <n v="3"/>
    <s v="Aditya"/>
    <x v="2"/>
    <s v="Male"/>
    <n v="72"/>
    <n v="19"/>
    <n v="25"/>
    <n v="28"/>
    <n v="72"/>
    <n v="75.789473684210535"/>
    <s v="B"/>
    <s v="Fail"/>
  </r>
  <r>
    <n v="4"/>
    <s v="Anjali"/>
    <x v="3"/>
    <s v="Female"/>
    <n v="92"/>
    <n v="21"/>
    <n v="29"/>
    <n v="39"/>
    <n v="89"/>
    <n v="93.684210526315795"/>
    <s v="A"/>
    <s v="Pass"/>
  </r>
  <r>
    <n v="5"/>
    <s v="Ayush"/>
    <x v="4"/>
    <s v="Male"/>
    <n v="79"/>
    <n v="22"/>
    <n v="18"/>
    <n v="39"/>
    <n v="79"/>
    <n v="83.15789473684211"/>
    <s v="A"/>
    <s v="Pass"/>
  </r>
  <r>
    <n v="6"/>
    <s v="Bhavna"/>
    <x v="0"/>
    <s v="Female"/>
    <n v="76"/>
    <n v="21"/>
    <n v="23"/>
    <n v="25"/>
    <n v="69"/>
    <n v="72.631578947368425"/>
    <s v="B"/>
    <s v="Pass"/>
  </r>
  <r>
    <n v="7"/>
    <s v="Chandan"/>
    <x v="1"/>
    <s v="Male"/>
    <n v="82"/>
    <n v="17"/>
    <n v="18"/>
    <n v="38"/>
    <n v="73"/>
    <n v="76.84210526315789"/>
    <s v="B"/>
    <s v="Pass"/>
  </r>
  <r>
    <n v="8"/>
    <s v="Deepak"/>
    <x v="2"/>
    <s v="Female"/>
    <n v="98"/>
    <n v="17"/>
    <n v="19"/>
    <n v="36"/>
    <n v="72"/>
    <n v="75.789473684210535"/>
    <s v="B"/>
    <s v="Pass"/>
  </r>
  <r>
    <n v="9"/>
    <s v="Diya"/>
    <x v="3"/>
    <s v="Male"/>
    <n v="93"/>
    <n v="19"/>
    <n v="28"/>
    <n v="32"/>
    <n v="79"/>
    <n v="83.15789473684211"/>
    <s v="A"/>
    <s v="Pass"/>
  </r>
  <r>
    <n v="10"/>
    <s v="Harsh"/>
    <x v="4"/>
    <s v="Female"/>
    <n v="97"/>
    <n v="15"/>
    <n v="18"/>
    <n v="21"/>
    <n v="54"/>
    <n v="56.84210526315789"/>
    <s v="D"/>
    <s v="Pass"/>
  </r>
  <r>
    <n v="11"/>
    <s v="Isha"/>
    <x v="0"/>
    <s v="Male"/>
    <n v="98"/>
    <n v="24"/>
    <n v="26"/>
    <n v="27"/>
    <n v="77"/>
    <n v="81.05263157894737"/>
    <s v="A"/>
    <s v="Pass"/>
  </r>
  <r>
    <n v="12"/>
    <s v="Karan"/>
    <x v="1"/>
    <s v="Female"/>
    <n v="74"/>
    <n v="20"/>
    <n v="25"/>
    <n v="23"/>
    <n v="68"/>
    <n v="71.578947368421055"/>
    <s v="B"/>
    <s v="Fail"/>
  </r>
  <r>
    <n v="13"/>
    <s v="Kavya"/>
    <x v="2"/>
    <s v="Male"/>
    <n v="93"/>
    <n v="20"/>
    <n v="20"/>
    <n v="37"/>
    <n v="77"/>
    <n v="81.05263157894737"/>
    <s v="A"/>
    <s v="Pass"/>
  </r>
  <r>
    <n v="14"/>
    <s v="Manish"/>
    <x v="3"/>
    <s v="Female"/>
    <n v="82"/>
    <n v="23"/>
    <n v="26"/>
    <n v="25"/>
    <n v="74"/>
    <n v="77.89473684210526"/>
    <s v="B"/>
    <s v="Pass"/>
  </r>
  <r>
    <n v="15"/>
    <s v="Meera"/>
    <x v="4"/>
    <s v="Male"/>
    <n v="94"/>
    <n v="14"/>
    <n v="26"/>
    <n v="25"/>
    <n v="65"/>
    <n v="68.421052631578945"/>
    <s v="C"/>
    <s v="Pass"/>
  </r>
  <r>
    <n v="16"/>
    <s v="Mohit"/>
    <x v="0"/>
    <s v="Female"/>
    <n v="88"/>
    <n v="15"/>
    <n v="24"/>
    <n v="39"/>
    <n v="78"/>
    <n v="82.10526315789474"/>
    <s v="A"/>
    <s v="Pass"/>
  </r>
  <r>
    <n v="17"/>
    <s v="Nandini"/>
    <x v="1"/>
    <s v="Male"/>
    <n v="85"/>
    <n v="24"/>
    <n v="27"/>
    <n v="35"/>
    <n v="86"/>
    <n v="90.526315789473685"/>
    <s v="A"/>
    <s v="Pass"/>
  </r>
  <r>
    <n v="18"/>
    <s v="Neha"/>
    <x v="2"/>
    <s v="Female"/>
    <n v="87"/>
    <n v="23"/>
    <n v="24"/>
    <n v="37"/>
    <n v="84"/>
    <n v="88.421052631578945"/>
    <s v="A"/>
    <s v="Pass"/>
  </r>
  <r>
    <n v="19"/>
    <s v="Nikhil"/>
    <x v="3"/>
    <s v="Male"/>
    <n v="72"/>
    <n v="24"/>
    <n v="29"/>
    <n v="22"/>
    <n v="75"/>
    <n v="78.94736842105263"/>
    <s v="B"/>
    <s v="Fail"/>
  </r>
  <r>
    <n v="20"/>
    <s v="Pallavi"/>
    <x v="4"/>
    <s v="Female"/>
    <n v="78"/>
    <n v="24"/>
    <n v="22"/>
    <n v="31"/>
    <n v="77"/>
    <n v="81.05263157894737"/>
    <s v="A"/>
    <s v="Pass"/>
  </r>
  <r>
    <n v="21"/>
    <s v="Priya"/>
    <x v="0"/>
    <s v="Male"/>
    <n v="83"/>
    <n v="25"/>
    <n v="24"/>
    <n v="29"/>
    <n v="78"/>
    <n v="82.10526315789474"/>
    <s v="A"/>
    <s v="Pass"/>
  </r>
  <r>
    <n v="22"/>
    <s v="Rahul"/>
    <x v="1"/>
    <s v="Female"/>
    <n v="75"/>
    <n v="18"/>
    <n v="21"/>
    <n v="30"/>
    <n v="69"/>
    <n v="72.631578947368425"/>
    <s v="B"/>
    <s v="Pass"/>
  </r>
  <r>
    <n v="23"/>
    <s v="Riya"/>
    <x v="2"/>
    <s v="Male"/>
    <n v="83"/>
    <n v="19"/>
    <n v="26"/>
    <n v="38"/>
    <n v="83"/>
    <n v="87.368421052631589"/>
    <s v="A"/>
    <s v="Pass"/>
  </r>
  <r>
    <n v="24"/>
    <s v="Rohan"/>
    <x v="3"/>
    <s v="Female"/>
    <n v="97"/>
    <n v="22"/>
    <n v="20"/>
    <n v="20"/>
    <n v="62"/>
    <n v="65.26315789473685"/>
    <s v="C"/>
    <s v="Pass"/>
  </r>
  <r>
    <n v="25"/>
    <s v="Sakshi"/>
    <x v="4"/>
    <s v="Male"/>
    <n v="84"/>
    <n v="20"/>
    <n v="18"/>
    <n v="36"/>
    <n v="74"/>
    <n v="77.89473684210526"/>
    <s v="B"/>
    <s v="Pass"/>
  </r>
  <r>
    <n v="26"/>
    <s v="Shivam"/>
    <x v="0"/>
    <s v="Female"/>
    <n v="72"/>
    <n v="17"/>
    <n v="28"/>
    <n v="33"/>
    <n v="78"/>
    <n v="82.10526315789474"/>
    <s v="A"/>
    <s v="Fail"/>
  </r>
  <r>
    <n v="27"/>
    <s v="Simran"/>
    <x v="1"/>
    <s v="Male"/>
    <n v="73"/>
    <n v="20"/>
    <n v="21"/>
    <n v="39"/>
    <n v="80"/>
    <n v="84.210526315789465"/>
    <s v="A"/>
    <s v="Fail"/>
  </r>
  <r>
    <n v="28"/>
    <s v="Tanmay"/>
    <x v="2"/>
    <s v="Female"/>
    <n v="75"/>
    <n v="22"/>
    <n v="21"/>
    <n v="25"/>
    <n v="68"/>
    <n v="71.578947368421055"/>
    <s v="B"/>
    <s v="Pass"/>
  </r>
  <r>
    <n v="29"/>
    <s v="Vansh"/>
    <x v="3"/>
    <s v="Male"/>
    <n v="74"/>
    <n v="25"/>
    <n v="22"/>
    <n v="21"/>
    <n v="68"/>
    <n v="71.578947368421055"/>
    <s v="B"/>
    <s v="Fail"/>
  </r>
  <r>
    <n v="30"/>
    <s v="Yash"/>
    <x v="4"/>
    <s v="Female"/>
    <n v="85"/>
    <n v="18"/>
    <n v="25"/>
    <n v="31"/>
    <n v="74"/>
    <n v="77.89473684210526"/>
    <s v="B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EE38D-5EDF-4B22-83A8-CC27B9E306C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1:F7" firstHeaderRow="0" firstDataRow="1" firstDataCol="1"/>
  <pivotFields count="12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" showAll="0"/>
    <pivotField showAll="0"/>
    <pivotField showAll="0"/>
    <pivotField showAll="0"/>
    <pivotField showAll="0"/>
    <pivotField dataField="1" numFmtId="2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centage" fld="9" subtotal="average" baseField="0" baseItem="0" numFmtId="2"/>
    <dataField name="Count of Roll No." fld="0" subtotal="count" baseField="0" baseItem="1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FE3A1-9A5A-4F48-968E-5DAAC02FF814}" name="Table2" displayName="Table2" ref="A1:L31" totalsRowShown="0" headerRowDxfId="104" dataDxfId="103" headerRowBorderDxfId="118" tableBorderDxfId="119" totalsRowBorderDxfId="117">
  <autoFilter ref="A1:L31" xr:uid="{BEEFE3A1-9A5A-4F48-968E-5DAAC02FF814}"/>
  <tableColumns count="12">
    <tableColumn id="1" xr3:uid="{9859E188-544E-4FD4-81A7-1FA0E4085FF6}" name="Roll No." dataDxfId="116"/>
    <tableColumn id="2" xr3:uid="{25BA97DD-DE90-40C4-806E-8A73659039A7}" name="Student Name" dataDxfId="115"/>
    <tableColumn id="3" xr3:uid="{7DD3CDDE-B9F9-4E9D-8ED4-64EB5F1F8B90}" name="Trade" dataDxfId="114"/>
    <tableColumn id="4" xr3:uid="{FB48D80A-F474-42B5-A5D8-1DC37E8E9726}" name="Gender" dataDxfId="113"/>
    <tableColumn id="5" xr3:uid="{0A155788-708A-4E45-B708-BAC1B066C3A1}" name="Attendance %" dataDxfId="112"/>
    <tableColumn id="6" xr3:uid="{B4AD0A7C-5B90-4C4D-874F-CDCD2920A83B}" name="Internal Marks" dataDxfId="111"/>
    <tableColumn id="7" xr3:uid="{011ED513-A65C-4A23-890F-1CEDD24564C5}" name="Practical Marks" dataDxfId="110"/>
    <tableColumn id="8" xr3:uid="{41DF9ECD-8E57-47D6-B8D9-49D505C01632}" name="Theory Marks" dataDxfId="109"/>
    <tableColumn id="9" xr3:uid="{3B76402A-D803-4E0F-84CA-DA63F856F803}" name="Total Marks" dataDxfId="108">
      <calculatedColumnFormula>F2+G2+H2</calculatedColumnFormula>
    </tableColumn>
    <tableColumn id="10" xr3:uid="{FCB56D79-F971-4349-B389-9A28FAABA33B}" name="Percentage" dataDxfId="107">
      <calculatedColumnFormula>I2/95*100</calculatedColumnFormula>
    </tableColumn>
    <tableColumn id="11" xr3:uid="{A04F2171-A2A0-4C08-A1C7-032C956801B9}" name="Grade" dataDxfId="106">
      <calculatedColumnFormula>_xlfn.IFS(J2&gt;=80,"A",J2&gt;=70,"B",J2&gt;=60,"C",J2&gt;=50,"D",TRUE,"E")</calculatedColumnFormula>
    </tableColumn>
    <tableColumn id="12" xr3:uid="{F317C792-88D8-4CBE-A64D-EE3E25C714ED}" name="Result" dataDxfId="105">
      <calculatedColumnFormula>IF(AND(J2&gt;=50,E2&gt;=75),"Pass","Fail")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259C6E-AACD-41D3-8D25-A71B62A7E358}" name="EmployeeData" displayName="EmployeeData" ref="A1:K31" headerRowDxfId="2" dataDxfId="0" totalsRowDxfId="1">
  <autoFilter ref="A1:K31" xr:uid="{00000000-0009-0000-0100-000002000000}"/>
  <tableColumns count="11">
    <tableColumn id="1" xr3:uid="{00000000-0010-0000-0100-000001000000}" name="Employee ID" dataDxfId="13"/>
    <tableColumn id="2" xr3:uid="{00000000-0010-0000-0100-000002000000}" name="Employee Name" dataDxfId="12"/>
    <tableColumn id="3" xr3:uid="{00000000-0010-0000-0100-000003000000}" name="Department" dataDxfId="11"/>
    <tableColumn id="4" xr3:uid="{00000000-0010-0000-0100-000004000000}" name="Designation" dataDxfId="10"/>
    <tableColumn id="5" xr3:uid="{00000000-0010-0000-0100-000005000000}" name="City" dataDxfId="9"/>
    <tableColumn id="6" xr3:uid="{00000000-0010-0000-0100-000006000000}" name="Basic Salary" dataDxfId="8"/>
    <tableColumn id="7" xr3:uid="{00000000-0010-0000-0100-000007000000}" name="HRA" dataDxfId="7"/>
    <tableColumn id="8" xr3:uid="{00000000-0010-0000-0100-000008000000}" name="Allowance" dataDxfId="6"/>
    <tableColumn id="9" xr3:uid="{00000000-0010-0000-0100-000009000000}" name="Deduction" dataDxfId="5"/>
    <tableColumn id="10" xr3:uid="{00000000-0010-0000-0100-00000A000000}" name="Net Salary" dataDxfId="4">
      <calculatedColumnFormula>F2+G2+H2-I2</calculatedColumnFormula>
    </tableColumn>
    <tableColumn id="11" xr3:uid="{00000000-0010-0000-0100-00000B000000}" name="Experience (Years)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2924-3CC1-445E-BF4F-D7206B481BEE}">
  <dimension ref="A1:L31"/>
  <sheetViews>
    <sheetView workbookViewId="0">
      <selection activeCell="B30" sqref="B30"/>
    </sheetView>
  </sheetViews>
  <sheetFormatPr defaultRowHeight="15.75" x14ac:dyDescent="0.25"/>
  <cols>
    <col min="1" max="1" width="14.28515625" style="3" bestFit="1" customWidth="1"/>
    <col min="2" max="2" width="20.7109375" style="3" bestFit="1" customWidth="1"/>
    <col min="3" max="3" width="11.7109375" style="3" bestFit="1" customWidth="1"/>
    <col min="4" max="4" width="13.42578125" style="3" bestFit="1" customWidth="1"/>
    <col min="5" max="5" width="20.140625" style="3" bestFit="1" customWidth="1"/>
    <col min="6" max="6" width="21.28515625" style="3" bestFit="1" customWidth="1"/>
    <col min="7" max="7" width="21.85546875" style="3" bestFit="1" customWidth="1"/>
    <col min="8" max="8" width="20.5703125" style="3" bestFit="1" customWidth="1"/>
    <col min="9" max="9" width="18.42578125" style="3" bestFit="1" customWidth="1"/>
    <col min="10" max="10" width="16.85546875" style="3" bestFit="1" customWidth="1"/>
    <col min="11" max="11" width="12" style="3" bestFit="1" customWidth="1"/>
    <col min="12" max="12" width="12.28515625" style="3" bestFit="1" customWidth="1"/>
  </cols>
  <sheetData>
    <row r="1" spans="1:12" ht="16.5" x14ac:dyDescent="0.3">
      <c r="A1" s="15" t="s">
        <v>48</v>
      </c>
      <c r="B1" s="16" t="s">
        <v>47</v>
      </c>
      <c r="C1" s="16" t="s">
        <v>46</v>
      </c>
      <c r="D1" s="16" t="s">
        <v>45</v>
      </c>
      <c r="E1" s="16" t="s">
        <v>44</v>
      </c>
      <c r="F1" s="16" t="s">
        <v>43</v>
      </c>
      <c r="G1" s="16" t="s">
        <v>42</v>
      </c>
      <c r="H1" s="16" t="s">
        <v>41</v>
      </c>
      <c r="I1" s="16" t="s">
        <v>40</v>
      </c>
      <c r="J1" s="16" t="s">
        <v>39</v>
      </c>
      <c r="K1" s="16" t="s">
        <v>38</v>
      </c>
      <c r="L1" s="17" t="s">
        <v>37</v>
      </c>
    </row>
    <row r="2" spans="1:12" x14ac:dyDescent="0.25">
      <c r="A2" s="18">
        <v>1</v>
      </c>
      <c r="B2" s="19" t="s">
        <v>36</v>
      </c>
      <c r="C2" s="19" t="s">
        <v>10</v>
      </c>
      <c r="D2" s="19" t="s">
        <v>3</v>
      </c>
      <c r="E2" s="20">
        <v>87</v>
      </c>
      <c r="F2" s="19">
        <v>18</v>
      </c>
      <c r="G2" s="19">
        <v>28</v>
      </c>
      <c r="H2" s="19">
        <v>36</v>
      </c>
      <c r="I2" s="19">
        <f>F2+G2+H2</f>
        <v>82</v>
      </c>
      <c r="J2" s="21">
        <f>I2/95*100</f>
        <v>86.31578947368422</v>
      </c>
      <c r="K2" s="19" t="str">
        <f>_xlfn.IFS(J2&gt;=80,"A",J2&gt;=70,"B",J2&gt;=60,"C",J2&gt;=50,"D",TRUE,"E")</f>
        <v>A</v>
      </c>
      <c r="L2" s="22" t="str">
        <f>IF(AND(J2&gt;=50,E2&gt;=75),"Pass","Fail")</f>
        <v>Pass</v>
      </c>
    </row>
    <row r="3" spans="1:12" x14ac:dyDescent="0.25">
      <c r="A3" s="18">
        <v>2</v>
      </c>
      <c r="B3" s="19" t="s">
        <v>35</v>
      </c>
      <c r="C3" s="19" t="s">
        <v>8</v>
      </c>
      <c r="D3" s="19" t="s">
        <v>0</v>
      </c>
      <c r="E3" s="20">
        <v>93</v>
      </c>
      <c r="F3" s="19">
        <v>19</v>
      </c>
      <c r="G3" s="19">
        <v>20</v>
      </c>
      <c r="H3" s="19">
        <v>32</v>
      </c>
      <c r="I3" s="19">
        <f>F3+G3+H3</f>
        <v>71</v>
      </c>
      <c r="J3" s="21">
        <f>I3/95*100</f>
        <v>74.73684210526315</v>
      </c>
      <c r="K3" s="19" t="str">
        <f>_xlfn.IFS(J3&gt;=80,"A",J3&gt;=70,"B",J3&gt;=60,"C",J3&gt;=50,"D",TRUE,"E")</f>
        <v>B</v>
      </c>
      <c r="L3" s="22" t="str">
        <f>IF(AND(J3&gt;=50,E3&gt;=75),"Pass","Fail")</f>
        <v>Pass</v>
      </c>
    </row>
    <row r="4" spans="1:12" x14ac:dyDescent="0.25">
      <c r="A4" s="18">
        <v>3</v>
      </c>
      <c r="B4" s="19" t="s">
        <v>34</v>
      </c>
      <c r="C4" s="19" t="s">
        <v>6</v>
      </c>
      <c r="D4" s="19" t="s">
        <v>3</v>
      </c>
      <c r="E4" s="20">
        <v>72</v>
      </c>
      <c r="F4" s="19">
        <v>19</v>
      </c>
      <c r="G4" s="19">
        <v>25</v>
      </c>
      <c r="H4" s="19">
        <v>28</v>
      </c>
      <c r="I4" s="19">
        <f>F4+G4+H4</f>
        <v>72</v>
      </c>
      <c r="J4" s="21">
        <f>I4/95*100</f>
        <v>75.789473684210535</v>
      </c>
      <c r="K4" s="19" t="str">
        <f>_xlfn.IFS(J4&gt;=80,"A",J4&gt;=70,"B",J4&gt;=60,"C",J4&gt;=50,"D",TRUE,"E")</f>
        <v>B</v>
      </c>
      <c r="L4" s="22" t="str">
        <f>IF(AND(J4&gt;=50,E4&gt;=75),"Pass","Fail")</f>
        <v>Fail</v>
      </c>
    </row>
    <row r="5" spans="1:12" x14ac:dyDescent="0.25">
      <c r="A5" s="18">
        <v>4</v>
      </c>
      <c r="B5" s="19" t="s">
        <v>33</v>
      </c>
      <c r="C5" s="19" t="s">
        <v>4</v>
      </c>
      <c r="D5" s="19" t="s">
        <v>0</v>
      </c>
      <c r="E5" s="20">
        <v>92</v>
      </c>
      <c r="F5" s="19">
        <v>21</v>
      </c>
      <c r="G5" s="19">
        <v>29</v>
      </c>
      <c r="H5" s="19">
        <v>39</v>
      </c>
      <c r="I5" s="19">
        <f>F5+G5+H5</f>
        <v>89</v>
      </c>
      <c r="J5" s="21">
        <f>I5/95*100</f>
        <v>93.684210526315795</v>
      </c>
      <c r="K5" s="19" t="str">
        <f>_xlfn.IFS(J5&gt;=80,"A",J5&gt;=70,"B",J5&gt;=60,"C",J5&gt;=50,"D",TRUE,"E")</f>
        <v>A</v>
      </c>
      <c r="L5" s="22" t="str">
        <f>IF(AND(J5&gt;=50,E5&gt;=75),"Pass","Fail")</f>
        <v>Pass</v>
      </c>
    </row>
    <row r="6" spans="1:12" x14ac:dyDescent="0.25">
      <c r="A6" s="18">
        <v>5</v>
      </c>
      <c r="B6" s="19" t="s">
        <v>32</v>
      </c>
      <c r="C6" s="19" t="s">
        <v>1</v>
      </c>
      <c r="D6" s="19" t="s">
        <v>3</v>
      </c>
      <c r="E6" s="20">
        <v>79</v>
      </c>
      <c r="F6" s="19">
        <v>22</v>
      </c>
      <c r="G6" s="19">
        <v>18</v>
      </c>
      <c r="H6" s="19">
        <v>39</v>
      </c>
      <c r="I6" s="19">
        <f>F6+G6+H6</f>
        <v>79</v>
      </c>
      <c r="J6" s="21">
        <f>I6/95*100</f>
        <v>83.15789473684211</v>
      </c>
      <c r="K6" s="19" t="str">
        <f>_xlfn.IFS(J6&gt;=80,"A",J6&gt;=70,"B",J6&gt;=60,"C",J6&gt;=50,"D",TRUE,"E")</f>
        <v>A</v>
      </c>
      <c r="L6" s="22" t="str">
        <f>IF(AND(J6&gt;=50,E6&gt;=75),"Pass","Fail")</f>
        <v>Pass</v>
      </c>
    </row>
    <row r="7" spans="1:12" x14ac:dyDescent="0.25">
      <c r="A7" s="18">
        <v>6</v>
      </c>
      <c r="B7" s="19" t="s">
        <v>31</v>
      </c>
      <c r="C7" s="19" t="s">
        <v>10</v>
      </c>
      <c r="D7" s="19" t="s">
        <v>0</v>
      </c>
      <c r="E7" s="20">
        <v>76</v>
      </c>
      <c r="F7" s="19">
        <v>21</v>
      </c>
      <c r="G7" s="19">
        <v>23</v>
      </c>
      <c r="H7" s="19">
        <v>25</v>
      </c>
      <c r="I7" s="19">
        <f>F7+G7+H7</f>
        <v>69</v>
      </c>
      <c r="J7" s="21">
        <f>I7/95*100</f>
        <v>72.631578947368425</v>
      </c>
      <c r="K7" s="19" t="str">
        <f>_xlfn.IFS(J7&gt;=80,"A",J7&gt;=70,"B",J7&gt;=60,"C",J7&gt;=50,"D",TRUE,"E")</f>
        <v>B</v>
      </c>
      <c r="L7" s="22" t="str">
        <f>IF(AND(J7&gt;=50,E7&gt;=75),"Pass","Fail")</f>
        <v>Pass</v>
      </c>
    </row>
    <row r="8" spans="1:12" x14ac:dyDescent="0.25">
      <c r="A8" s="18">
        <v>7</v>
      </c>
      <c r="B8" s="19" t="s">
        <v>30</v>
      </c>
      <c r="C8" s="19" t="s">
        <v>8</v>
      </c>
      <c r="D8" s="19" t="s">
        <v>3</v>
      </c>
      <c r="E8" s="20">
        <v>82</v>
      </c>
      <c r="F8" s="19">
        <v>17</v>
      </c>
      <c r="G8" s="19">
        <v>18</v>
      </c>
      <c r="H8" s="19">
        <v>38</v>
      </c>
      <c r="I8" s="19">
        <f>F8+G8+H8</f>
        <v>73</v>
      </c>
      <c r="J8" s="21">
        <f>I8/95*100</f>
        <v>76.84210526315789</v>
      </c>
      <c r="K8" s="19" t="str">
        <f>_xlfn.IFS(J8&gt;=80,"A",J8&gt;=70,"B",J8&gt;=60,"C",J8&gt;=50,"D",TRUE,"E")</f>
        <v>B</v>
      </c>
      <c r="L8" s="22" t="str">
        <f>IF(AND(J8&gt;=50,E8&gt;=75),"Pass","Fail")</f>
        <v>Pass</v>
      </c>
    </row>
    <row r="9" spans="1:12" x14ac:dyDescent="0.25">
      <c r="A9" s="18">
        <v>8</v>
      </c>
      <c r="B9" s="19" t="s">
        <v>29</v>
      </c>
      <c r="C9" s="19" t="s">
        <v>6</v>
      </c>
      <c r="D9" s="19" t="s">
        <v>0</v>
      </c>
      <c r="E9" s="20">
        <v>98</v>
      </c>
      <c r="F9" s="19">
        <v>17</v>
      </c>
      <c r="G9" s="19">
        <v>19</v>
      </c>
      <c r="H9" s="19">
        <v>36</v>
      </c>
      <c r="I9" s="19">
        <f>F9+G9+H9</f>
        <v>72</v>
      </c>
      <c r="J9" s="21">
        <f>I9/95*100</f>
        <v>75.789473684210535</v>
      </c>
      <c r="K9" s="19" t="str">
        <f>_xlfn.IFS(J9&gt;=80,"A",J9&gt;=70,"B",J9&gt;=60,"C",J9&gt;=50,"D",TRUE,"E")</f>
        <v>B</v>
      </c>
      <c r="L9" s="22" t="str">
        <f>IF(AND(J9&gt;=50,E9&gt;=75),"Pass","Fail")</f>
        <v>Pass</v>
      </c>
    </row>
    <row r="10" spans="1:12" x14ac:dyDescent="0.25">
      <c r="A10" s="18">
        <v>9</v>
      </c>
      <c r="B10" s="19" t="s">
        <v>28</v>
      </c>
      <c r="C10" s="19" t="s">
        <v>4</v>
      </c>
      <c r="D10" s="19" t="s">
        <v>3</v>
      </c>
      <c r="E10" s="20">
        <v>93</v>
      </c>
      <c r="F10" s="19">
        <v>19</v>
      </c>
      <c r="G10" s="19">
        <v>28</v>
      </c>
      <c r="H10" s="19">
        <v>32</v>
      </c>
      <c r="I10" s="19">
        <f>F10+G10+H10</f>
        <v>79</v>
      </c>
      <c r="J10" s="21">
        <f>I10/95*100</f>
        <v>83.15789473684211</v>
      </c>
      <c r="K10" s="19" t="str">
        <f>_xlfn.IFS(J10&gt;=80,"A",J10&gt;=70,"B",J10&gt;=60,"C",J10&gt;=50,"D",TRUE,"E")</f>
        <v>A</v>
      </c>
      <c r="L10" s="22" t="str">
        <f>IF(AND(J10&gt;=50,E10&gt;=75),"Pass","Fail")</f>
        <v>Pass</v>
      </c>
    </row>
    <row r="11" spans="1:12" x14ac:dyDescent="0.25">
      <c r="A11" s="18">
        <v>10</v>
      </c>
      <c r="B11" s="19" t="s">
        <v>27</v>
      </c>
      <c r="C11" s="19" t="s">
        <v>1</v>
      </c>
      <c r="D11" s="19" t="s">
        <v>0</v>
      </c>
      <c r="E11" s="20">
        <v>97</v>
      </c>
      <c r="F11" s="19">
        <v>15</v>
      </c>
      <c r="G11" s="19">
        <v>18</v>
      </c>
      <c r="H11" s="19">
        <v>21</v>
      </c>
      <c r="I11" s="19">
        <f>F11+G11+H11</f>
        <v>54</v>
      </c>
      <c r="J11" s="21">
        <f>I11/95*100</f>
        <v>56.84210526315789</v>
      </c>
      <c r="K11" s="19" t="str">
        <f>_xlfn.IFS(J11&gt;=80,"A",J11&gt;=70,"B",J11&gt;=60,"C",J11&gt;=50,"D",TRUE,"E")</f>
        <v>D</v>
      </c>
      <c r="L11" s="22" t="str">
        <f>IF(AND(J11&gt;=50,E11&gt;=75),"Pass","Fail")</f>
        <v>Pass</v>
      </c>
    </row>
    <row r="12" spans="1:12" x14ac:dyDescent="0.25">
      <c r="A12" s="18">
        <v>11</v>
      </c>
      <c r="B12" s="19" t="s">
        <v>26</v>
      </c>
      <c r="C12" s="19" t="s">
        <v>10</v>
      </c>
      <c r="D12" s="19" t="s">
        <v>3</v>
      </c>
      <c r="E12" s="20">
        <v>98</v>
      </c>
      <c r="F12" s="19">
        <v>24</v>
      </c>
      <c r="G12" s="19">
        <v>26</v>
      </c>
      <c r="H12" s="19">
        <v>27</v>
      </c>
      <c r="I12" s="19">
        <f>F12+G12+H12</f>
        <v>77</v>
      </c>
      <c r="J12" s="21">
        <f>I12/95*100</f>
        <v>81.05263157894737</v>
      </c>
      <c r="K12" s="19" t="str">
        <f>_xlfn.IFS(J12&gt;=80,"A",J12&gt;=70,"B",J12&gt;=60,"C",J12&gt;=50,"D",TRUE,"E")</f>
        <v>A</v>
      </c>
      <c r="L12" s="22" t="str">
        <f>IF(AND(J12&gt;=50,E12&gt;=75),"Pass","Fail")</f>
        <v>Pass</v>
      </c>
    </row>
    <row r="13" spans="1:12" x14ac:dyDescent="0.25">
      <c r="A13" s="18">
        <v>12</v>
      </c>
      <c r="B13" s="19" t="s">
        <v>25</v>
      </c>
      <c r="C13" s="19" t="s">
        <v>8</v>
      </c>
      <c r="D13" s="19" t="s">
        <v>0</v>
      </c>
      <c r="E13" s="20">
        <v>74</v>
      </c>
      <c r="F13" s="19">
        <v>20</v>
      </c>
      <c r="G13" s="19">
        <v>25</v>
      </c>
      <c r="H13" s="19">
        <v>23</v>
      </c>
      <c r="I13" s="19">
        <f>F13+G13+H13</f>
        <v>68</v>
      </c>
      <c r="J13" s="21">
        <f>I13/95*100</f>
        <v>71.578947368421055</v>
      </c>
      <c r="K13" s="19" t="str">
        <f>_xlfn.IFS(J13&gt;=80,"A",J13&gt;=70,"B",J13&gt;=60,"C",J13&gt;=50,"D",TRUE,"E")</f>
        <v>B</v>
      </c>
      <c r="L13" s="22" t="str">
        <f>IF(AND(J13&gt;=50,E13&gt;=75),"Pass","Fail")</f>
        <v>Fail</v>
      </c>
    </row>
    <row r="14" spans="1:12" x14ac:dyDescent="0.25">
      <c r="A14" s="18">
        <v>13</v>
      </c>
      <c r="B14" s="19" t="s">
        <v>24</v>
      </c>
      <c r="C14" s="19" t="s">
        <v>6</v>
      </c>
      <c r="D14" s="19" t="s">
        <v>3</v>
      </c>
      <c r="E14" s="20">
        <v>93</v>
      </c>
      <c r="F14" s="19">
        <v>20</v>
      </c>
      <c r="G14" s="19">
        <v>20</v>
      </c>
      <c r="H14" s="19">
        <v>37</v>
      </c>
      <c r="I14" s="19">
        <f>F14+G14+H14</f>
        <v>77</v>
      </c>
      <c r="J14" s="21">
        <f>I14/95*100</f>
        <v>81.05263157894737</v>
      </c>
      <c r="K14" s="19" t="str">
        <f>_xlfn.IFS(J14&gt;=80,"A",J14&gt;=70,"B",J14&gt;=60,"C",J14&gt;=50,"D",TRUE,"E")</f>
        <v>A</v>
      </c>
      <c r="L14" s="22" t="str">
        <f>IF(AND(J14&gt;=50,E14&gt;=75),"Pass","Fail")</f>
        <v>Pass</v>
      </c>
    </row>
    <row r="15" spans="1:12" x14ac:dyDescent="0.25">
      <c r="A15" s="18">
        <v>14</v>
      </c>
      <c r="B15" s="19" t="s">
        <v>23</v>
      </c>
      <c r="C15" s="19" t="s">
        <v>4</v>
      </c>
      <c r="D15" s="19" t="s">
        <v>0</v>
      </c>
      <c r="E15" s="20">
        <v>82</v>
      </c>
      <c r="F15" s="19">
        <v>23</v>
      </c>
      <c r="G15" s="19">
        <v>26</v>
      </c>
      <c r="H15" s="19">
        <v>25</v>
      </c>
      <c r="I15" s="19">
        <f>F15+G15+H15</f>
        <v>74</v>
      </c>
      <c r="J15" s="21">
        <f>I15/95*100</f>
        <v>77.89473684210526</v>
      </c>
      <c r="K15" s="19" t="str">
        <f>_xlfn.IFS(J15&gt;=80,"A",J15&gt;=70,"B",J15&gt;=60,"C",J15&gt;=50,"D",TRUE,"E")</f>
        <v>B</v>
      </c>
      <c r="L15" s="22" t="str">
        <f>IF(AND(J15&gt;=50,E15&gt;=75),"Pass","Fail")</f>
        <v>Pass</v>
      </c>
    </row>
    <row r="16" spans="1:12" x14ac:dyDescent="0.25">
      <c r="A16" s="18">
        <v>15</v>
      </c>
      <c r="B16" s="19" t="s">
        <v>22</v>
      </c>
      <c r="C16" s="19" t="s">
        <v>1</v>
      </c>
      <c r="D16" s="19" t="s">
        <v>3</v>
      </c>
      <c r="E16" s="20">
        <v>94</v>
      </c>
      <c r="F16" s="19">
        <v>14</v>
      </c>
      <c r="G16" s="19">
        <v>26</v>
      </c>
      <c r="H16" s="19">
        <v>25</v>
      </c>
      <c r="I16" s="19">
        <f>F16+G16+H16</f>
        <v>65</v>
      </c>
      <c r="J16" s="21">
        <f>I16/95*100</f>
        <v>68.421052631578945</v>
      </c>
      <c r="K16" s="19" t="str">
        <f>_xlfn.IFS(J16&gt;=80,"A",J16&gt;=70,"B",J16&gt;=60,"C",J16&gt;=50,"D",TRUE,"E")</f>
        <v>C</v>
      </c>
      <c r="L16" s="22" t="str">
        <f>IF(AND(J16&gt;=50,E16&gt;=75),"Pass","Fail")</f>
        <v>Pass</v>
      </c>
    </row>
    <row r="17" spans="1:12" x14ac:dyDescent="0.25">
      <c r="A17" s="18">
        <v>16</v>
      </c>
      <c r="B17" s="19" t="s">
        <v>21</v>
      </c>
      <c r="C17" s="19" t="s">
        <v>10</v>
      </c>
      <c r="D17" s="19" t="s">
        <v>0</v>
      </c>
      <c r="E17" s="20">
        <v>88</v>
      </c>
      <c r="F17" s="19">
        <v>15</v>
      </c>
      <c r="G17" s="19">
        <v>24</v>
      </c>
      <c r="H17" s="19">
        <v>39</v>
      </c>
      <c r="I17" s="19">
        <f>F17+G17+H17</f>
        <v>78</v>
      </c>
      <c r="J17" s="21">
        <f>I17/95*100</f>
        <v>82.10526315789474</v>
      </c>
      <c r="K17" s="19" t="str">
        <f>_xlfn.IFS(J17&gt;=80,"A",J17&gt;=70,"B",J17&gt;=60,"C",J17&gt;=50,"D",TRUE,"E")</f>
        <v>A</v>
      </c>
      <c r="L17" s="22" t="str">
        <f>IF(AND(J17&gt;=50,E17&gt;=75),"Pass","Fail")</f>
        <v>Pass</v>
      </c>
    </row>
    <row r="18" spans="1:12" x14ac:dyDescent="0.25">
      <c r="A18" s="18">
        <v>17</v>
      </c>
      <c r="B18" s="19" t="s">
        <v>20</v>
      </c>
      <c r="C18" s="19" t="s">
        <v>8</v>
      </c>
      <c r="D18" s="19" t="s">
        <v>3</v>
      </c>
      <c r="E18" s="20">
        <v>85</v>
      </c>
      <c r="F18" s="19">
        <v>24</v>
      </c>
      <c r="G18" s="19">
        <v>27</v>
      </c>
      <c r="H18" s="19">
        <v>35</v>
      </c>
      <c r="I18" s="19">
        <f>F18+G18+H18</f>
        <v>86</v>
      </c>
      <c r="J18" s="21">
        <f>I18/95*100</f>
        <v>90.526315789473685</v>
      </c>
      <c r="K18" s="19" t="str">
        <f>_xlfn.IFS(J18&gt;=80,"A",J18&gt;=70,"B",J18&gt;=60,"C",J18&gt;=50,"D",TRUE,"E")</f>
        <v>A</v>
      </c>
      <c r="L18" s="22" t="str">
        <f>IF(AND(J18&gt;=50,E18&gt;=75),"Pass","Fail")</f>
        <v>Pass</v>
      </c>
    </row>
    <row r="19" spans="1:12" x14ac:dyDescent="0.25">
      <c r="A19" s="18">
        <v>18</v>
      </c>
      <c r="B19" s="19" t="s">
        <v>19</v>
      </c>
      <c r="C19" s="19" t="s">
        <v>6</v>
      </c>
      <c r="D19" s="19" t="s">
        <v>0</v>
      </c>
      <c r="E19" s="20">
        <v>87</v>
      </c>
      <c r="F19" s="19">
        <v>23</v>
      </c>
      <c r="G19" s="19">
        <v>24</v>
      </c>
      <c r="H19" s="19">
        <v>37</v>
      </c>
      <c r="I19" s="19">
        <f>F19+G19+H19</f>
        <v>84</v>
      </c>
      <c r="J19" s="21">
        <f>I19/95*100</f>
        <v>88.421052631578945</v>
      </c>
      <c r="K19" s="19" t="str">
        <f>_xlfn.IFS(J19&gt;=80,"A",J19&gt;=70,"B",J19&gt;=60,"C",J19&gt;=50,"D",TRUE,"E")</f>
        <v>A</v>
      </c>
      <c r="L19" s="22" t="str">
        <f>IF(AND(J19&gt;=50,E19&gt;=75),"Pass","Fail")</f>
        <v>Pass</v>
      </c>
    </row>
    <row r="20" spans="1:12" x14ac:dyDescent="0.25">
      <c r="A20" s="18">
        <v>19</v>
      </c>
      <c r="B20" s="19" t="s">
        <v>18</v>
      </c>
      <c r="C20" s="19" t="s">
        <v>4</v>
      </c>
      <c r="D20" s="19" t="s">
        <v>3</v>
      </c>
      <c r="E20" s="20">
        <v>72</v>
      </c>
      <c r="F20" s="19">
        <v>24</v>
      </c>
      <c r="G20" s="19">
        <v>29</v>
      </c>
      <c r="H20" s="19">
        <v>22</v>
      </c>
      <c r="I20" s="19">
        <f>F20+G20+H20</f>
        <v>75</v>
      </c>
      <c r="J20" s="21">
        <f>I20/95*100</f>
        <v>78.94736842105263</v>
      </c>
      <c r="K20" s="19" t="str">
        <f>_xlfn.IFS(J20&gt;=80,"A",J20&gt;=70,"B",J20&gt;=60,"C",J20&gt;=50,"D",TRUE,"E")</f>
        <v>B</v>
      </c>
      <c r="L20" s="22" t="str">
        <f>IF(AND(J20&gt;=50,E20&gt;=75),"Pass","Fail")</f>
        <v>Fail</v>
      </c>
    </row>
    <row r="21" spans="1:12" x14ac:dyDescent="0.25">
      <c r="A21" s="18">
        <v>20</v>
      </c>
      <c r="B21" s="19" t="s">
        <v>17</v>
      </c>
      <c r="C21" s="19" t="s">
        <v>1</v>
      </c>
      <c r="D21" s="19" t="s">
        <v>0</v>
      </c>
      <c r="E21" s="20">
        <v>78</v>
      </c>
      <c r="F21" s="19">
        <v>24</v>
      </c>
      <c r="G21" s="19">
        <v>22</v>
      </c>
      <c r="H21" s="19">
        <v>31</v>
      </c>
      <c r="I21" s="19">
        <f>F21+G21+H21</f>
        <v>77</v>
      </c>
      <c r="J21" s="21">
        <f>I21/95*100</f>
        <v>81.05263157894737</v>
      </c>
      <c r="K21" s="19" t="str">
        <f>_xlfn.IFS(J21&gt;=80,"A",J21&gt;=70,"B",J21&gt;=60,"C",J21&gt;=50,"D",TRUE,"E")</f>
        <v>A</v>
      </c>
      <c r="L21" s="22" t="str">
        <f>IF(AND(J21&gt;=50,E21&gt;=75),"Pass","Fail")</f>
        <v>Pass</v>
      </c>
    </row>
    <row r="22" spans="1:12" x14ac:dyDescent="0.25">
      <c r="A22" s="18">
        <v>21</v>
      </c>
      <c r="B22" s="19" t="s">
        <v>16</v>
      </c>
      <c r="C22" s="19" t="s">
        <v>10</v>
      </c>
      <c r="D22" s="19" t="s">
        <v>3</v>
      </c>
      <c r="E22" s="20">
        <v>83</v>
      </c>
      <c r="F22" s="19">
        <v>25</v>
      </c>
      <c r="G22" s="19">
        <v>24</v>
      </c>
      <c r="H22" s="19">
        <v>29</v>
      </c>
      <c r="I22" s="19">
        <f>F22+G22+H22</f>
        <v>78</v>
      </c>
      <c r="J22" s="21">
        <f>I22/95*100</f>
        <v>82.10526315789474</v>
      </c>
      <c r="K22" s="19" t="str">
        <f>_xlfn.IFS(J22&gt;=80,"A",J22&gt;=70,"B",J22&gt;=60,"C",J22&gt;=50,"D",TRUE,"E")</f>
        <v>A</v>
      </c>
      <c r="L22" s="22" t="str">
        <f>IF(AND(J22&gt;=50,E22&gt;=75),"Pass","Fail")</f>
        <v>Pass</v>
      </c>
    </row>
    <row r="23" spans="1:12" x14ac:dyDescent="0.25">
      <c r="A23" s="18">
        <v>22</v>
      </c>
      <c r="B23" s="19" t="s">
        <v>15</v>
      </c>
      <c r="C23" s="19" t="s">
        <v>8</v>
      </c>
      <c r="D23" s="19" t="s">
        <v>0</v>
      </c>
      <c r="E23" s="20">
        <v>75</v>
      </c>
      <c r="F23" s="19">
        <v>18</v>
      </c>
      <c r="G23" s="19">
        <v>21</v>
      </c>
      <c r="H23" s="19">
        <v>30</v>
      </c>
      <c r="I23" s="19">
        <f>F23+G23+H23</f>
        <v>69</v>
      </c>
      <c r="J23" s="21">
        <f>I23/95*100</f>
        <v>72.631578947368425</v>
      </c>
      <c r="K23" s="19" t="str">
        <f>_xlfn.IFS(J23&gt;=80,"A",J23&gt;=70,"B",J23&gt;=60,"C",J23&gt;=50,"D",TRUE,"E")</f>
        <v>B</v>
      </c>
      <c r="L23" s="22" t="str">
        <f>IF(AND(J23&gt;=50,E23&gt;=75),"Pass","Fail")</f>
        <v>Pass</v>
      </c>
    </row>
    <row r="24" spans="1:12" x14ac:dyDescent="0.25">
      <c r="A24" s="18">
        <v>23</v>
      </c>
      <c r="B24" s="19" t="s">
        <v>14</v>
      </c>
      <c r="C24" s="19" t="s">
        <v>6</v>
      </c>
      <c r="D24" s="19" t="s">
        <v>3</v>
      </c>
      <c r="E24" s="20">
        <v>83</v>
      </c>
      <c r="F24" s="19">
        <v>19</v>
      </c>
      <c r="G24" s="19">
        <v>26</v>
      </c>
      <c r="H24" s="19">
        <v>38</v>
      </c>
      <c r="I24" s="19">
        <f>F24+G24+H24</f>
        <v>83</v>
      </c>
      <c r="J24" s="21">
        <f>I24/95*100</f>
        <v>87.368421052631589</v>
      </c>
      <c r="K24" s="19" t="str">
        <f>_xlfn.IFS(J24&gt;=80,"A",J24&gt;=70,"B",J24&gt;=60,"C",J24&gt;=50,"D",TRUE,"E")</f>
        <v>A</v>
      </c>
      <c r="L24" s="22" t="str">
        <f>IF(AND(J24&gt;=50,E24&gt;=75),"Pass","Fail")</f>
        <v>Pass</v>
      </c>
    </row>
    <row r="25" spans="1:12" x14ac:dyDescent="0.25">
      <c r="A25" s="18">
        <v>24</v>
      </c>
      <c r="B25" s="19" t="s">
        <v>13</v>
      </c>
      <c r="C25" s="19" t="s">
        <v>4</v>
      </c>
      <c r="D25" s="19" t="s">
        <v>0</v>
      </c>
      <c r="E25" s="20">
        <v>97</v>
      </c>
      <c r="F25" s="19">
        <v>22</v>
      </c>
      <c r="G25" s="19">
        <v>20</v>
      </c>
      <c r="H25" s="19">
        <v>20</v>
      </c>
      <c r="I25" s="19">
        <f>F25+G25+H25</f>
        <v>62</v>
      </c>
      <c r="J25" s="21">
        <f>I25/95*100</f>
        <v>65.26315789473685</v>
      </c>
      <c r="K25" s="19" t="str">
        <f>_xlfn.IFS(J25&gt;=80,"A",J25&gt;=70,"B",J25&gt;=60,"C",J25&gt;=50,"D",TRUE,"E")</f>
        <v>C</v>
      </c>
      <c r="L25" s="22" t="str">
        <f>IF(AND(J25&gt;=50,E25&gt;=75),"Pass","Fail")</f>
        <v>Pass</v>
      </c>
    </row>
    <row r="26" spans="1:12" x14ac:dyDescent="0.25">
      <c r="A26" s="18">
        <v>25</v>
      </c>
      <c r="B26" s="19" t="s">
        <v>12</v>
      </c>
      <c r="C26" s="19" t="s">
        <v>1</v>
      </c>
      <c r="D26" s="19" t="s">
        <v>3</v>
      </c>
      <c r="E26" s="20">
        <v>84</v>
      </c>
      <c r="F26" s="19">
        <v>20</v>
      </c>
      <c r="G26" s="19">
        <v>18</v>
      </c>
      <c r="H26" s="19">
        <v>36</v>
      </c>
      <c r="I26" s="19">
        <f>F26+G26+H26</f>
        <v>74</v>
      </c>
      <c r="J26" s="21">
        <f>I26/95*100</f>
        <v>77.89473684210526</v>
      </c>
      <c r="K26" s="19" t="str">
        <f>_xlfn.IFS(J26&gt;=80,"A",J26&gt;=70,"B",J26&gt;=60,"C",J26&gt;=50,"D",TRUE,"E")</f>
        <v>B</v>
      </c>
      <c r="L26" s="22" t="str">
        <f>IF(AND(J26&gt;=50,E26&gt;=75),"Pass","Fail")</f>
        <v>Pass</v>
      </c>
    </row>
    <row r="27" spans="1:12" x14ac:dyDescent="0.25">
      <c r="A27" s="18">
        <v>26</v>
      </c>
      <c r="B27" s="19" t="s">
        <v>11</v>
      </c>
      <c r="C27" s="19" t="s">
        <v>10</v>
      </c>
      <c r="D27" s="19" t="s">
        <v>0</v>
      </c>
      <c r="E27" s="20">
        <v>72</v>
      </c>
      <c r="F27" s="19">
        <v>17</v>
      </c>
      <c r="G27" s="19">
        <v>28</v>
      </c>
      <c r="H27" s="19">
        <v>33</v>
      </c>
      <c r="I27" s="19">
        <f>F27+G27+H27</f>
        <v>78</v>
      </c>
      <c r="J27" s="21">
        <f>I27/95*100</f>
        <v>82.10526315789474</v>
      </c>
      <c r="K27" s="19" t="str">
        <f>_xlfn.IFS(J27&gt;=80,"A",J27&gt;=70,"B",J27&gt;=60,"C",J27&gt;=50,"D",TRUE,"E")</f>
        <v>A</v>
      </c>
      <c r="L27" s="22" t="str">
        <f>IF(AND(J27&gt;=50,E27&gt;=75),"Pass","Fail")</f>
        <v>Fail</v>
      </c>
    </row>
    <row r="28" spans="1:12" x14ac:dyDescent="0.25">
      <c r="A28" s="18">
        <v>27</v>
      </c>
      <c r="B28" s="19" t="s">
        <v>9</v>
      </c>
      <c r="C28" s="19" t="s">
        <v>8</v>
      </c>
      <c r="D28" s="19" t="s">
        <v>3</v>
      </c>
      <c r="E28" s="20">
        <v>73</v>
      </c>
      <c r="F28" s="19">
        <v>20</v>
      </c>
      <c r="G28" s="19">
        <v>21</v>
      </c>
      <c r="H28" s="19">
        <v>39</v>
      </c>
      <c r="I28" s="19">
        <f>F28+G28+H28</f>
        <v>80</v>
      </c>
      <c r="J28" s="21">
        <f>I28/95*100</f>
        <v>84.210526315789465</v>
      </c>
      <c r="K28" s="19" t="str">
        <f>_xlfn.IFS(J28&gt;=80,"A",J28&gt;=70,"B",J28&gt;=60,"C",J28&gt;=50,"D",TRUE,"E")</f>
        <v>A</v>
      </c>
      <c r="L28" s="22" t="str">
        <f>IF(AND(J28&gt;=50,E28&gt;=75),"Pass","Fail")</f>
        <v>Fail</v>
      </c>
    </row>
    <row r="29" spans="1:12" x14ac:dyDescent="0.25">
      <c r="A29" s="18">
        <v>28</v>
      </c>
      <c r="B29" s="19" t="s">
        <v>7</v>
      </c>
      <c r="C29" s="19" t="s">
        <v>6</v>
      </c>
      <c r="D29" s="19" t="s">
        <v>0</v>
      </c>
      <c r="E29" s="20">
        <v>75</v>
      </c>
      <c r="F29" s="19">
        <v>22</v>
      </c>
      <c r="G29" s="19">
        <v>21</v>
      </c>
      <c r="H29" s="19">
        <v>25</v>
      </c>
      <c r="I29" s="19">
        <f>F29+G29+H29</f>
        <v>68</v>
      </c>
      <c r="J29" s="21">
        <f>I29/95*100</f>
        <v>71.578947368421055</v>
      </c>
      <c r="K29" s="19" t="str">
        <f>_xlfn.IFS(J29&gt;=80,"A",J29&gt;=70,"B",J29&gt;=60,"C",J29&gt;=50,"D",TRUE,"E")</f>
        <v>B</v>
      </c>
      <c r="L29" s="22" t="str">
        <f>IF(AND(J29&gt;=50,E29&gt;=75),"Pass","Fail")</f>
        <v>Pass</v>
      </c>
    </row>
    <row r="30" spans="1:12" x14ac:dyDescent="0.25">
      <c r="A30" s="18">
        <v>29</v>
      </c>
      <c r="B30" s="19" t="s">
        <v>5</v>
      </c>
      <c r="C30" s="19" t="s">
        <v>4</v>
      </c>
      <c r="D30" s="19" t="s">
        <v>3</v>
      </c>
      <c r="E30" s="20">
        <v>74</v>
      </c>
      <c r="F30" s="19">
        <v>25</v>
      </c>
      <c r="G30" s="19">
        <v>22</v>
      </c>
      <c r="H30" s="19">
        <v>21</v>
      </c>
      <c r="I30" s="19">
        <f>F30+G30+H30</f>
        <v>68</v>
      </c>
      <c r="J30" s="21">
        <f>I30/95*100</f>
        <v>71.578947368421055</v>
      </c>
      <c r="K30" s="19" t="str">
        <f>_xlfn.IFS(J30&gt;=80,"A",J30&gt;=70,"B",J30&gt;=60,"C",J30&gt;=50,"D",TRUE,"E")</f>
        <v>B</v>
      </c>
      <c r="L30" s="22" t="str">
        <f>IF(AND(J30&gt;=50,E30&gt;=75),"Pass","Fail")</f>
        <v>Fail</v>
      </c>
    </row>
    <row r="31" spans="1:12" x14ac:dyDescent="0.25">
      <c r="A31" s="23">
        <v>30</v>
      </c>
      <c r="B31" s="24" t="s">
        <v>2</v>
      </c>
      <c r="C31" s="24" t="s">
        <v>1</v>
      </c>
      <c r="D31" s="24" t="s">
        <v>0</v>
      </c>
      <c r="E31" s="25">
        <v>85</v>
      </c>
      <c r="F31" s="24">
        <v>18</v>
      </c>
      <c r="G31" s="24">
        <v>25</v>
      </c>
      <c r="H31" s="24">
        <v>31</v>
      </c>
      <c r="I31" s="24">
        <f>F31+G31+H31</f>
        <v>74</v>
      </c>
      <c r="J31" s="26">
        <f>I31/95*100</f>
        <v>77.89473684210526</v>
      </c>
      <c r="K31" s="24" t="str">
        <f>_xlfn.IFS(J31&gt;=80,"A",J31&gt;=70,"B",J31&gt;=60,"C",J31&gt;=50,"D",TRUE,"E")</f>
        <v>B</v>
      </c>
      <c r="L31" s="27" t="str">
        <f>IF(AND(J31&gt;=50,E31&gt;=75),"Pass","Fail")</f>
        <v>Pass</v>
      </c>
    </row>
  </sheetData>
  <conditionalFormatting sqref="J2:J31">
    <cfRule type="cellIs" dxfId="15" priority="1" operator="greaterThan">
      <formula>80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E4A6-9F4A-40C3-9DB8-286B731EE8DF}">
  <dimension ref="A1:F19"/>
  <sheetViews>
    <sheetView tabSelected="1" workbookViewId="0">
      <selection activeCell="A19" sqref="A19"/>
    </sheetView>
  </sheetViews>
  <sheetFormatPr defaultRowHeight="15" x14ac:dyDescent="0.25"/>
  <cols>
    <col min="1" max="1" width="22.85546875" bestFit="1" customWidth="1"/>
    <col min="2" max="2" width="37.7109375" customWidth="1"/>
    <col min="4" max="4" width="20.5703125" bestFit="1" customWidth="1"/>
    <col min="5" max="6" width="29.140625" bestFit="1" customWidth="1"/>
  </cols>
  <sheetData>
    <row r="1" spans="1:6" ht="19.5" x14ac:dyDescent="0.4">
      <c r="A1" s="5" t="s">
        <v>49</v>
      </c>
      <c r="B1" s="5"/>
      <c r="C1" s="4"/>
      <c r="D1" s="12" t="s">
        <v>61</v>
      </c>
      <c r="E1" t="s">
        <v>63</v>
      </c>
      <c r="F1" t="s">
        <v>64</v>
      </c>
    </row>
    <row r="2" spans="1:6" x14ac:dyDescent="0.25">
      <c r="A2" s="8" t="s">
        <v>50</v>
      </c>
      <c r="B2" s="6">
        <f>MAX(Sheet1!J2:J31)</f>
        <v>93.684210526315795</v>
      </c>
      <c r="D2" s="13" t="s">
        <v>10</v>
      </c>
      <c r="E2" s="11">
        <v>81.052631578947384</v>
      </c>
      <c r="F2" s="14">
        <v>6</v>
      </c>
    </row>
    <row r="3" spans="1:6" x14ac:dyDescent="0.25">
      <c r="A3" s="8" t="s">
        <v>51</v>
      </c>
      <c r="B3" s="6">
        <f>MIN(Sheet1!J2:J31)</f>
        <v>56.84210526315789</v>
      </c>
      <c r="D3" s="13" t="s">
        <v>8</v>
      </c>
      <c r="E3" s="11">
        <v>78.421052631578945</v>
      </c>
      <c r="F3" s="14">
        <v>6</v>
      </c>
    </row>
    <row r="4" spans="1:6" x14ac:dyDescent="0.25">
      <c r="A4" s="8" t="s">
        <v>52</v>
      </c>
      <c r="B4" s="7">
        <f>AVERAGE(Sheet1!J2:J31)</f>
        <v>78.421052631578974</v>
      </c>
      <c r="D4" s="13" t="s">
        <v>6</v>
      </c>
      <c r="E4" s="11">
        <v>80</v>
      </c>
      <c r="F4" s="14">
        <v>6</v>
      </c>
    </row>
    <row r="5" spans="1:6" x14ac:dyDescent="0.25">
      <c r="A5" s="8" t="s">
        <v>53</v>
      </c>
      <c r="B5" s="6">
        <f>COUNTIF(Sheet1!L2:L31,"Pass")</f>
        <v>24</v>
      </c>
      <c r="D5" s="13" t="s">
        <v>4</v>
      </c>
      <c r="E5" s="11">
        <v>78.421052631578959</v>
      </c>
      <c r="F5" s="14">
        <v>6</v>
      </c>
    </row>
    <row r="6" spans="1:6" x14ac:dyDescent="0.25">
      <c r="A6" s="8" t="s">
        <v>54</v>
      </c>
      <c r="B6" s="6">
        <f>COUNTIF(Sheet1!L2:L31,"Fail")</f>
        <v>6</v>
      </c>
      <c r="D6" s="13" t="s">
        <v>1</v>
      </c>
      <c r="E6" s="11">
        <v>74.21052631578948</v>
      </c>
      <c r="F6" s="14">
        <v>6</v>
      </c>
    </row>
    <row r="7" spans="1:6" x14ac:dyDescent="0.25">
      <c r="D7" s="13" t="s">
        <v>62</v>
      </c>
      <c r="E7" s="11">
        <v>78.421052631578974</v>
      </c>
      <c r="F7" s="14">
        <v>30</v>
      </c>
    </row>
    <row r="9" spans="1:6" s="30" customFormat="1" ht="19.5" x14ac:dyDescent="0.4">
      <c r="A9" s="29" t="s">
        <v>38</v>
      </c>
      <c r="B9" s="29" t="s">
        <v>60</v>
      </c>
      <c r="D9"/>
      <c r="E9"/>
      <c r="F9"/>
    </row>
    <row r="10" spans="1:6" x14ac:dyDescent="0.25">
      <c r="A10" s="9" t="s">
        <v>59</v>
      </c>
      <c r="B10" s="9">
        <f>COUNTIF(Sheet1!K2:K31,A10)</f>
        <v>14</v>
      </c>
    </row>
    <row r="11" spans="1:6" x14ac:dyDescent="0.25">
      <c r="A11" s="9" t="s">
        <v>58</v>
      </c>
      <c r="B11" s="9">
        <f>COUNTIF(Sheet1!K2:K31,A11)</f>
        <v>13</v>
      </c>
    </row>
    <row r="12" spans="1:6" x14ac:dyDescent="0.25">
      <c r="A12" s="9" t="s">
        <v>57</v>
      </c>
      <c r="B12" s="9">
        <f>COUNTIF(Sheet1!K2:K31,A12)</f>
        <v>2</v>
      </c>
    </row>
    <row r="13" spans="1:6" x14ac:dyDescent="0.25">
      <c r="A13" s="9" t="s">
        <v>56</v>
      </c>
      <c r="B13" s="9">
        <f>COUNTIF(Sheet1!K2:K31,A13)</f>
        <v>1</v>
      </c>
    </row>
    <row r="14" spans="1:6" x14ac:dyDescent="0.25">
      <c r="A14" s="9" t="s">
        <v>55</v>
      </c>
      <c r="B14" s="9">
        <f>COUNTIF(Sheet1!K2:K31,A14)</f>
        <v>0</v>
      </c>
    </row>
    <row r="17" spans="1:2" x14ac:dyDescent="0.25">
      <c r="A17" s="28"/>
      <c r="B17" s="28"/>
    </row>
    <row r="18" spans="1:2" ht="15.75" customHeight="1" x14ac:dyDescent="0.25">
      <c r="A18" s="10"/>
      <c r="B18" s="10"/>
    </row>
    <row r="19" spans="1:2" ht="15.75" customHeight="1" x14ac:dyDescent="0.25">
      <c r="A19" s="10" t="s">
        <v>148</v>
      </c>
      <c r="B19" s="10"/>
    </row>
  </sheetData>
  <mergeCells count="1"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6BC6-9397-4A0F-B5A0-CFA6CF9FA026}">
  <dimension ref="A1:K31"/>
  <sheetViews>
    <sheetView workbookViewId="0">
      <selection activeCell="D34" sqref="D34"/>
    </sheetView>
  </sheetViews>
  <sheetFormatPr defaultRowHeight="15" x14ac:dyDescent="0.25"/>
  <cols>
    <col min="1" max="1" width="19.42578125" bestFit="1" customWidth="1"/>
    <col min="2" max="2" width="23" bestFit="1" customWidth="1"/>
    <col min="3" max="3" width="18.140625" bestFit="1" customWidth="1"/>
    <col min="4" max="4" width="18.42578125" bestFit="1" customWidth="1"/>
    <col min="5" max="5" width="10.7109375" bestFit="1" customWidth="1"/>
    <col min="6" max="6" width="18.28515625" bestFit="1" customWidth="1"/>
    <col min="7" max="7" width="10.85546875" bestFit="1" customWidth="1"/>
    <col min="8" max="9" width="16.5703125" bestFit="1" customWidth="1"/>
    <col min="10" max="10" width="16.42578125" bestFit="1" customWidth="1"/>
    <col min="11" max="11" width="25" bestFit="1" customWidth="1"/>
  </cols>
  <sheetData>
    <row r="1" spans="1:11" ht="16.5" x14ac:dyDescent="0.3">
      <c r="A1" s="1" t="s">
        <v>147</v>
      </c>
      <c r="B1" s="1" t="s">
        <v>146</v>
      </c>
      <c r="C1" s="1" t="s">
        <v>145</v>
      </c>
      <c r="D1" s="1" t="s">
        <v>144</v>
      </c>
      <c r="E1" s="1" t="s">
        <v>143</v>
      </c>
      <c r="F1" s="1" t="s">
        <v>142</v>
      </c>
      <c r="G1" s="1" t="s">
        <v>141</v>
      </c>
      <c r="H1" s="1" t="s">
        <v>140</v>
      </c>
      <c r="I1" s="1" t="s">
        <v>139</v>
      </c>
      <c r="J1" s="1" t="s">
        <v>138</v>
      </c>
      <c r="K1" s="1" t="s">
        <v>137</v>
      </c>
    </row>
    <row r="2" spans="1:11" ht="15.75" x14ac:dyDescent="0.25">
      <c r="A2" s="2" t="s">
        <v>136</v>
      </c>
      <c r="B2" s="2" t="s">
        <v>135</v>
      </c>
      <c r="C2" s="2" t="s">
        <v>85</v>
      </c>
      <c r="D2" s="2" t="s">
        <v>84</v>
      </c>
      <c r="E2" s="2" t="s">
        <v>83</v>
      </c>
      <c r="F2" s="31">
        <v>31411</v>
      </c>
      <c r="G2" s="31">
        <v>6282</v>
      </c>
      <c r="H2" s="31">
        <v>6210</v>
      </c>
      <c r="I2" s="31">
        <v>2881</v>
      </c>
      <c r="J2" s="31">
        <f>F2+G2+H2-I2</f>
        <v>41022</v>
      </c>
      <c r="K2" s="2">
        <v>6</v>
      </c>
    </row>
    <row r="3" spans="1:11" ht="15.75" x14ac:dyDescent="0.25">
      <c r="A3" s="2" t="s">
        <v>134</v>
      </c>
      <c r="B3" s="2" t="s">
        <v>133</v>
      </c>
      <c r="C3" s="2" t="s">
        <v>81</v>
      </c>
      <c r="D3" s="2" t="s">
        <v>80</v>
      </c>
      <c r="E3" s="2" t="s">
        <v>79</v>
      </c>
      <c r="F3" s="31">
        <v>41683</v>
      </c>
      <c r="G3" s="31">
        <v>8337</v>
      </c>
      <c r="H3" s="31">
        <v>4782</v>
      </c>
      <c r="I3" s="31">
        <v>2154</v>
      </c>
      <c r="J3" s="31">
        <f>F3+G3+H3-I3</f>
        <v>52648</v>
      </c>
      <c r="K3" s="2">
        <v>8</v>
      </c>
    </row>
    <row r="4" spans="1:11" ht="15.75" x14ac:dyDescent="0.25">
      <c r="A4" s="2" t="s">
        <v>132</v>
      </c>
      <c r="B4" s="2" t="s">
        <v>131</v>
      </c>
      <c r="C4" s="2" t="s">
        <v>76</v>
      </c>
      <c r="D4" s="2" t="s">
        <v>75</v>
      </c>
      <c r="E4" s="2" t="s">
        <v>74</v>
      </c>
      <c r="F4" s="31">
        <v>59212</v>
      </c>
      <c r="G4" s="31">
        <v>11842</v>
      </c>
      <c r="H4" s="31">
        <v>7709</v>
      </c>
      <c r="I4" s="31">
        <v>4927</v>
      </c>
      <c r="J4" s="31">
        <f>F4+G4+H4-I4</f>
        <v>73836</v>
      </c>
      <c r="K4" s="2">
        <v>8</v>
      </c>
    </row>
    <row r="5" spans="1:11" ht="15.75" x14ac:dyDescent="0.25">
      <c r="A5" s="2" t="s">
        <v>130</v>
      </c>
      <c r="B5" s="2" t="s">
        <v>19</v>
      </c>
      <c r="C5" s="2" t="s">
        <v>71</v>
      </c>
      <c r="D5" s="2" t="s">
        <v>70</v>
      </c>
      <c r="E5" s="2" t="s">
        <v>69</v>
      </c>
      <c r="F5" s="31">
        <v>43722</v>
      </c>
      <c r="G5" s="31">
        <v>8744</v>
      </c>
      <c r="H5" s="31">
        <v>3372</v>
      </c>
      <c r="I5" s="31">
        <v>2903</v>
      </c>
      <c r="J5" s="31">
        <f>F5+G5+H5-I5</f>
        <v>52935</v>
      </c>
      <c r="K5" s="2">
        <v>9</v>
      </c>
    </row>
    <row r="6" spans="1:11" ht="15.75" x14ac:dyDescent="0.25">
      <c r="A6" s="2" t="s">
        <v>129</v>
      </c>
      <c r="B6" s="2" t="s">
        <v>128</v>
      </c>
      <c r="C6" s="2" t="s">
        <v>67</v>
      </c>
      <c r="D6" s="2" t="s">
        <v>66</v>
      </c>
      <c r="E6" s="2" t="s">
        <v>65</v>
      </c>
      <c r="F6" s="31">
        <v>51867</v>
      </c>
      <c r="G6" s="31">
        <v>10373</v>
      </c>
      <c r="H6" s="31">
        <v>3490</v>
      </c>
      <c r="I6" s="31">
        <v>1775</v>
      </c>
      <c r="J6" s="31">
        <f>F6+G6+H6-I6</f>
        <v>63955</v>
      </c>
      <c r="K6" s="2">
        <v>12</v>
      </c>
    </row>
    <row r="7" spans="1:11" ht="15.75" x14ac:dyDescent="0.25">
      <c r="A7" s="2" t="s">
        <v>127</v>
      </c>
      <c r="B7" s="2" t="s">
        <v>126</v>
      </c>
      <c r="C7" s="2" t="s">
        <v>85</v>
      </c>
      <c r="D7" s="2" t="s">
        <v>84</v>
      </c>
      <c r="E7" s="2" t="s">
        <v>83</v>
      </c>
      <c r="F7" s="31">
        <v>42410</v>
      </c>
      <c r="G7" s="31">
        <v>8482</v>
      </c>
      <c r="H7" s="31">
        <v>6971</v>
      </c>
      <c r="I7" s="31">
        <v>1027</v>
      </c>
      <c r="J7" s="31">
        <f>F7+G7+H7-I7</f>
        <v>56836</v>
      </c>
      <c r="K7" s="2">
        <v>5</v>
      </c>
    </row>
    <row r="8" spans="1:11" ht="15.75" x14ac:dyDescent="0.25">
      <c r="A8" s="2" t="s">
        <v>125</v>
      </c>
      <c r="B8" s="2" t="s">
        <v>124</v>
      </c>
      <c r="C8" s="2" t="s">
        <v>81</v>
      </c>
      <c r="D8" s="2" t="s">
        <v>80</v>
      </c>
      <c r="E8" s="2" t="s">
        <v>79</v>
      </c>
      <c r="F8" s="31">
        <v>50399</v>
      </c>
      <c r="G8" s="31">
        <v>10080</v>
      </c>
      <c r="H8" s="31">
        <v>3470</v>
      </c>
      <c r="I8" s="31">
        <v>1989</v>
      </c>
      <c r="J8" s="31">
        <f>F8+G8+H8-I8</f>
        <v>61960</v>
      </c>
      <c r="K8" s="2">
        <v>1</v>
      </c>
    </row>
    <row r="9" spans="1:11" ht="15.75" x14ac:dyDescent="0.25">
      <c r="A9" s="2" t="s">
        <v>123</v>
      </c>
      <c r="B9" s="2" t="s">
        <v>122</v>
      </c>
      <c r="C9" s="2" t="s">
        <v>76</v>
      </c>
      <c r="D9" s="2" t="s">
        <v>75</v>
      </c>
      <c r="E9" s="2" t="s">
        <v>74</v>
      </c>
      <c r="F9" s="31">
        <v>60860</v>
      </c>
      <c r="G9" s="31">
        <v>12172</v>
      </c>
      <c r="H9" s="31">
        <v>2327</v>
      </c>
      <c r="I9" s="31">
        <v>2013</v>
      </c>
      <c r="J9" s="31">
        <f>F9+G9+H9-I9</f>
        <v>73346</v>
      </c>
      <c r="K9" s="2">
        <v>10</v>
      </c>
    </row>
    <row r="10" spans="1:11" ht="15.75" x14ac:dyDescent="0.25">
      <c r="A10" s="2" t="s">
        <v>121</v>
      </c>
      <c r="B10" s="2" t="s">
        <v>120</v>
      </c>
      <c r="C10" s="2" t="s">
        <v>71</v>
      </c>
      <c r="D10" s="2" t="s">
        <v>70</v>
      </c>
      <c r="E10" s="2" t="s">
        <v>69</v>
      </c>
      <c r="F10" s="31">
        <v>35606</v>
      </c>
      <c r="G10" s="31">
        <v>7121</v>
      </c>
      <c r="H10" s="31">
        <v>4956</v>
      </c>
      <c r="I10" s="31">
        <v>3238</v>
      </c>
      <c r="J10" s="31">
        <f>F10+G10+H10-I10</f>
        <v>44445</v>
      </c>
      <c r="K10" s="2">
        <v>9</v>
      </c>
    </row>
    <row r="11" spans="1:11" ht="15.75" x14ac:dyDescent="0.25">
      <c r="A11" s="2" t="s">
        <v>119</v>
      </c>
      <c r="B11" s="2" t="s">
        <v>118</v>
      </c>
      <c r="C11" s="2" t="s">
        <v>67</v>
      </c>
      <c r="D11" s="2" t="s">
        <v>66</v>
      </c>
      <c r="E11" s="2" t="s">
        <v>65</v>
      </c>
      <c r="F11" s="31">
        <v>38145</v>
      </c>
      <c r="G11" s="31">
        <v>7629</v>
      </c>
      <c r="H11" s="31">
        <v>2195</v>
      </c>
      <c r="I11" s="31">
        <v>4799</v>
      </c>
      <c r="J11" s="31">
        <f>F11+G11+H11-I11</f>
        <v>43170</v>
      </c>
      <c r="K11" s="2">
        <v>6</v>
      </c>
    </row>
    <row r="12" spans="1:11" ht="15.75" x14ac:dyDescent="0.25">
      <c r="A12" s="2" t="s">
        <v>117</v>
      </c>
      <c r="B12" s="2" t="s">
        <v>116</v>
      </c>
      <c r="C12" s="2" t="s">
        <v>85</v>
      </c>
      <c r="D12" s="2" t="s">
        <v>84</v>
      </c>
      <c r="E12" s="2" t="s">
        <v>83</v>
      </c>
      <c r="F12" s="31">
        <v>46313</v>
      </c>
      <c r="G12" s="31">
        <v>9263</v>
      </c>
      <c r="H12" s="31">
        <v>7238</v>
      </c>
      <c r="I12" s="31">
        <v>1483</v>
      </c>
      <c r="J12" s="31">
        <f>F12+G12+H12-I12</f>
        <v>61331</v>
      </c>
      <c r="K12" s="2">
        <v>4</v>
      </c>
    </row>
    <row r="13" spans="1:11" ht="15.75" x14ac:dyDescent="0.25">
      <c r="A13" s="2" t="s">
        <v>115</v>
      </c>
      <c r="B13" s="2" t="s">
        <v>114</v>
      </c>
      <c r="C13" s="2" t="s">
        <v>81</v>
      </c>
      <c r="D13" s="2" t="s">
        <v>80</v>
      </c>
      <c r="E13" s="2" t="s">
        <v>79</v>
      </c>
      <c r="F13" s="31">
        <v>62553</v>
      </c>
      <c r="G13" s="31">
        <v>12511</v>
      </c>
      <c r="H13" s="31">
        <v>6114</v>
      </c>
      <c r="I13" s="31">
        <v>2955</v>
      </c>
      <c r="J13" s="31">
        <f>F13+G13+H13-I13</f>
        <v>78223</v>
      </c>
      <c r="K13" s="2">
        <v>8</v>
      </c>
    </row>
    <row r="14" spans="1:11" ht="15.75" x14ac:dyDescent="0.25">
      <c r="A14" s="2" t="s">
        <v>113</v>
      </c>
      <c r="B14" s="2" t="s">
        <v>112</v>
      </c>
      <c r="C14" s="2" t="s">
        <v>76</v>
      </c>
      <c r="D14" s="2" t="s">
        <v>75</v>
      </c>
      <c r="E14" s="2" t="s">
        <v>74</v>
      </c>
      <c r="F14" s="31">
        <v>51182</v>
      </c>
      <c r="G14" s="31">
        <v>10236</v>
      </c>
      <c r="H14" s="31">
        <v>4151</v>
      </c>
      <c r="I14" s="31">
        <v>3803</v>
      </c>
      <c r="J14" s="31">
        <f>F14+G14+H14-I14</f>
        <v>61766</v>
      </c>
      <c r="K14" s="2">
        <v>8</v>
      </c>
    </row>
    <row r="15" spans="1:11" ht="15.75" x14ac:dyDescent="0.25">
      <c r="A15" s="2" t="s">
        <v>111</v>
      </c>
      <c r="B15" s="2" t="s">
        <v>110</v>
      </c>
      <c r="C15" s="2" t="s">
        <v>71</v>
      </c>
      <c r="D15" s="2" t="s">
        <v>70</v>
      </c>
      <c r="E15" s="2" t="s">
        <v>69</v>
      </c>
      <c r="F15" s="31">
        <v>38626</v>
      </c>
      <c r="G15" s="31">
        <v>7725</v>
      </c>
      <c r="H15" s="31">
        <v>5676</v>
      </c>
      <c r="I15" s="31">
        <v>2193</v>
      </c>
      <c r="J15" s="31">
        <f>F15+G15+H15-I15</f>
        <v>49834</v>
      </c>
      <c r="K15" s="2">
        <v>10</v>
      </c>
    </row>
    <row r="16" spans="1:11" ht="15.75" x14ac:dyDescent="0.25">
      <c r="A16" s="2" t="s">
        <v>109</v>
      </c>
      <c r="B16" s="2" t="s">
        <v>108</v>
      </c>
      <c r="C16" s="2" t="s">
        <v>67</v>
      </c>
      <c r="D16" s="2" t="s">
        <v>66</v>
      </c>
      <c r="E16" s="2" t="s">
        <v>65</v>
      </c>
      <c r="F16" s="31">
        <v>31014</v>
      </c>
      <c r="G16" s="31">
        <v>6203</v>
      </c>
      <c r="H16" s="31">
        <v>4279</v>
      </c>
      <c r="I16" s="31">
        <v>2351</v>
      </c>
      <c r="J16" s="31">
        <f>F16+G16+H16-I16</f>
        <v>39145</v>
      </c>
      <c r="K16" s="2">
        <v>9</v>
      </c>
    </row>
    <row r="17" spans="1:11" ht="15.75" x14ac:dyDescent="0.25">
      <c r="A17" s="2" t="s">
        <v>107</v>
      </c>
      <c r="B17" s="2" t="s">
        <v>106</v>
      </c>
      <c r="C17" s="2" t="s">
        <v>85</v>
      </c>
      <c r="D17" s="2" t="s">
        <v>84</v>
      </c>
      <c r="E17" s="2" t="s">
        <v>83</v>
      </c>
      <c r="F17" s="31">
        <v>57169</v>
      </c>
      <c r="G17" s="31">
        <v>11434</v>
      </c>
      <c r="H17" s="31">
        <v>7772</v>
      </c>
      <c r="I17" s="31">
        <v>4244</v>
      </c>
      <c r="J17" s="31">
        <f>F17+G17+H17-I17</f>
        <v>72131</v>
      </c>
      <c r="K17" s="2">
        <v>4</v>
      </c>
    </row>
    <row r="18" spans="1:11" ht="15.75" x14ac:dyDescent="0.25">
      <c r="A18" s="2" t="s">
        <v>105</v>
      </c>
      <c r="B18" s="2" t="s">
        <v>104</v>
      </c>
      <c r="C18" s="2" t="s">
        <v>81</v>
      </c>
      <c r="D18" s="2" t="s">
        <v>80</v>
      </c>
      <c r="E18" s="2" t="s">
        <v>79</v>
      </c>
      <c r="F18" s="31">
        <v>46679</v>
      </c>
      <c r="G18" s="31">
        <v>9336</v>
      </c>
      <c r="H18" s="31">
        <v>6267</v>
      </c>
      <c r="I18" s="31">
        <v>2044</v>
      </c>
      <c r="J18" s="31">
        <f>F18+G18+H18-I18</f>
        <v>60238</v>
      </c>
      <c r="K18" s="2">
        <v>1</v>
      </c>
    </row>
    <row r="19" spans="1:11" ht="15.75" x14ac:dyDescent="0.25">
      <c r="A19" s="2" t="s">
        <v>103</v>
      </c>
      <c r="B19" s="2" t="s">
        <v>102</v>
      </c>
      <c r="C19" s="2" t="s">
        <v>76</v>
      </c>
      <c r="D19" s="2" t="s">
        <v>75</v>
      </c>
      <c r="E19" s="2" t="s">
        <v>74</v>
      </c>
      <c r="F19" s="31">
        <v>28241</v>
      </c>
      <c r="G19" s="31">
        <v>5648</v>
      </c>
      <c r="H19" s="31">
        <v>7686</v>
      </c>
      <c r="I19" s="31">
        <v>1111</v>
      </c>
      <c r="J19" s="31">
        <f>F19+G19+H19-I19</f>
        <v>40464</v>
      </c>
      <c r="K19" s="2">
        <v>3</v>
      </c>
    </row>
    <row r="20" spans="1:11" ht="15.75" x14ac:dyDescent="0.25">
      <c r="A20" s="2" t="s">
        <v>101</v>
      </c>
      <c r="B20" s="2" t="s">
        <v>100</v>
      </c>
      <c r="C20" s="2" t="s">
        <v>71</v>
      </c>
      <c r="D20" s="2" t="s">
        <v>70</v>
      </c>
      <c r="E20" s="2" t="s">
        <v>69</v>
      </c>
      <c r="F20" s="31">
        <v>64570</v>
      </c>
      <c r="G20" s="31">
        <v>12914</v>
      </c>
      <c r="H20" s="31">
        <v>4177</v>
      </c>
      <c r="I20" s="31">
        <v>2721</v>
      </c>
      <c r="J20" s="31">
        <f>F20+G20+H20-I20</f>
        <v>78940</v>
      </c>
      <c r="K20" s="2">
        <v>3</v>
      </c>
    </row>
    <row r="21" spans="1:11" ht="15.75" x14ac:dyDescent="0.25">
      <c r="A21" s="2" t="s">
        <v>99</v>
      </c>
      <c r="B21" s="2" t="s">
        <v>98</v>
      </c>
      <c r="C21" s="2" t="s">
        <v>67</v>
      </c>
      <c r="D21" s="2" t="s">
        <v>66</v>
      </c>
      <c r="E21" s="2" t="s">
        <v>65</v>
      </c>
      <c r="F21" s="31">
        <v>43809</v>
      </c>
      <c r="G21" s="31">
        <v>8762</v>
      </c>
      <c r="H21" s="31">
        <v>3640</v>
      </c>
      <c r="I21" s="31">
        <v>2782</v>
      </c>
      <c r="J21" s="31">
        <f>F21+G21+H21-I21</f>
        <v>53429</v>
      </c>
      <c r="K21" s="2">
        <v>8</v>
      </c>
    </row>
    <row r="22" spans="1:11" ht="15.75" x14ac:dyDescent="0.25">
      <c r="A22" s="2" t="s">
        <v>97</v>
      </c>
      <c r="B22" s="2" t="s">
        <v>96</v>
      </c>
      <c r="C22" s="2" t="s">
        <v>85</v>
      </c>
      <c r="D22" s="2" t="s">
        <v>84</v>
      </c>
      <c r="E22" s="2" t="s">
        <v>83</v>
      </c>
      <c r="F22" s="31">
        <v>31852</v>
      </c>
      <c r="G22" s="31">
        <v>6370</v>
      </c>
      <c r="H22" s="31">
        <v>6586</v>
      </c>
      <c r="I22" s="31">
        <v>3335</v>
      </c>
      <c r="J22" s="31">
        <f>F22+G22+H22-I22</f>
        <v>41473</v>
      </c>
      <c r="K22" s="2">
        <v>10</v>
      </c>
    </row>
    <row r="23" spans="1:11" ht="15.75" x14ac:dyDescent="0.25">
      <c r="A23" s="2" t="s">
        <v>95</v>
      </c>
      <c r="B23" s="2" t="s">
        <v>94</v>
      </c>
      <c r="C23" s="2" t="s">
        <v>81</v>
      </c>
      <c r="D23" s="2" t="s">
        <v>80</v>
      </c>
      <c r="E23" s="2" t="s">
        <v>79</v>
      </c>
      <c r="F23" s="31">
        <v>44902</v>
      </c>
      <c r="G23" s="31">
        <v>8980</v>
      </c>
      <c r="H23" s="31">
        <v>8229</v>
      </c>
      <c r="I23" s="31">
        <v>1160</v>
      </c>
      <c r="J23" s="31">
        <f>F23+G23+H23-I23</f>
        <v>60951</v>
      </c>
      <c r="K23" s="2">
        <v>7</v>
      </c>
    </row>
    <row r="24" spans="1:11" ht="15.75" x14ac:dyDescent="0.25">
      <c r="A24" s="2" t="s">
        <v>93</v>
      </c>
      <c r="B24" s="2" t="s">
        <v>92</v>
      </c>
      <c r="C24" s="2" t="s">
        <v>76</v>
      </c>
      <c r="D24" s="2" t="s">
        <v>75</v>
      </c>
      <c r="E24" s="2" t="s">
        <v>74</v>
      </c>
      <c r="F24" s="31">
        <v>56257</v>
      </c>
      <c r="G24" s="31">
        <v>11251</v>
      </c>
      <c r="H24" s="31">
        <v>6820</v>
      </c>
      <c r="I24" s="31">
        <v>1380</v>
      </c>
      <c r="J24" s="31">
        <f>F24+G24+H24-I24</f>
        <v>72948</v>
      </c>
      <c r="K24" s="2">
        <v>7</v>
      </c>
    </row>
    <row r="25" spans="1:11" ht="15.75" x14ac:dyDescent="0.25">
      <c r="A25" s="2" t="s">
        <v>91</v>
      </c>
      <c r="B25" s="2" t="s">
        <v>90</v>
      </c>
      <c r="C25" s="2" t="s">
        <v>71</v>
      </c>
      <c r="D25" s="2" t="s">
        <v>70</v>
      </c>
      <c r="E25" s="2" t="s">
        <v>69</v>
      </c>
      <c r="F25" s="31">
        <v>41041</v>
      </c>
      <c r="G25" s="31">
        <v>8208</v>
      </c>
      <c r="H25" s="31">
        <v>6752</v>
      </c>
      <c r="I25" s="31">
        <v>3281</v>
      </c>
      <c r="J25" s="31">
        <f>F25+G25+H25-I25</f>
        <v>52720</v>
      </c>
      <c r="K25" s="2">
        <v>6</v>
      </c>
    </row>
    <row r="26" spans="1:11" ht="15.75" x14ac:dyDescent="0.25">
      <c r="A26" s="2" t="s">
        <v>89</v>
      </c>
      <c r="B26" s="2" t="s">
        <v>88</v>
      </c>
      <c r="C26" s="2" t="s">
        <v>67</v>
      </c>
      <c r="D26" s="2" t="s">
        <v>66</v>
      </c>
      <c r="E26" s="2" t="s">
        <v>65</v>
      </c>
      <c r="F26" s="31">
        <v>52148</v>
      </c>
      <c r="G26" s="31">
        <v>10430</v>
      </c>
      <c r="H26" s="31">
        <v>7227</v>
      </c>
      <c r="I26" s="31">
        <v>4013</v>
      </c>
      <c r="J26" s="31">
        <f>F26+G26+H26-I26</f>
        <v>65792</v>
      </c>
      <c r="K26" s="2">
        <v>7</v>
      </c>
    </row>
    <row r="27" spans="1:11" ht="15.75" x14ac:dyDescent="0.25">
      <c r="A27" s="2" t="s">
        <v>87</v>
      </c>
      <c r="B27" s="2" t="s">
        <v>86</v>
      </c>
      <c r="C27" s="2" t="s">
        <v>85</v>
      </c>
      <c r="D27" s="2" t="s">
        <v>84</v>
      </c>
      <c r="E27" s="2" t="s">
        <v>83</v>
      </c>
      <c r="F27" s="31">
        <v>64918</v>
      </c>
      <c r="G27" s="31">
        <v>12984</v>
      </c>
      <c r="H27" s="31">
        <v>3318</v>
      </c>
      <c r="I27" s="31">
        <v>1070</v>
      </c>
      <c r="J27" s="31">
        <f>F27+G27+H27-I27</f>
        <v>80150</v>
      </c>
      <c r="K27" s="2">
        <v>12</v>
      </c>
    </row>
    <row r="28" spans="1:11" ht="15.75" x14ac:dyDescent="0.25">
      <c r="A28" s="2" t="s">
        <v>82</v>
      </c>
      <c r="B28" s="2" t="s">
        <v>29</v>
      </c>
      <c r="C28" s="2" t="s">
        <v>81</v>
      </c>
      <c r="D28" s="2" t="s">
        <v>80</v>
      </c>
      <c r="E28" s="2" t="s">
        <v>79</v>
      </c>
      <c r="F28" s="31">
        <v>38185</v>
      </c>
      <c r="G28" s="31">
        <v>7637</v>
      </c>
      <c r="H28" s="31">
        <v>2253</v>
      </c>
      <c r="I28" s="31">
        <v>4267</v>
      </c>
      <c r="J28" s="31">
        <f>F28+G28+H28-I28</f>
        <v>43808</v>
      </c>
      <c r="K28" s="2">
        <v>1</v>
      </c>
    </row>
    <row r="29" spans="1:11" ht="15.75" x14ac:dyDescent="0.25">
      <c r="A29" s="2" t="s">
        <v>78</v>
      </c>
      <c r="B29" s="2" t="s">
        <v>77</v>
      </c>
      <c r="C29" s="2" t="s">
        <v>76</v>
      </c>
      <c r="D29" s="2" t="s">
        <v>75</v>
      </c>
      <c r="E29" s="2" t="s">
        <v>74</v>
      </c>
      <c r="F29" s="31">
        <v>32783</v>
      </c>
      <c r="G29" s="31">
        <v>6557</v>
      </c>
      <c r="H29" s="31">
        <v>5403</v>
      </c>
      <c r="I29" s="31">
        <v>3191</v>
      </c>
      <c r="J29" s="31">
        <f>F29+G29+H29-I29</f>
        <v>41552</v>
      </c>
      <c r="K29" s="2">
        <v>4</v>
      </c>
    </row>
    <row r="30" spans="1:11" ht="15.75" x14ac:dyDescent="0.25">
      <c r="A30" s="2" t="s">
        <v>73</v>
      </c>
      <c r="B30" s="2" t="s">
        <v>72</v>
      </c>
      <c r="C30" s="2" t="s">
        <v>71</v>
      </c>
      <c r="D30" s="2" t="s">
        <v>70</v>
      </c>
      <c r="E30" s="2" t="s">
        <v>69</v>
      </c>
      <c r="F30" s="31">
        <v>52869</v>
      </c>
      <c r="G30" s="31">
        <v>10574</v>
      </c>
      <c r="H30" s="31">
        <v>8491</v>
      </c>
      <c r="I30" s="31">
        <v>1402</v>
      </c>
      <c r="J30" s="31">
        <f>F30+G30+H30-I30</f>
        <v>70532</v>
      </c>
      <c r="K30" s="2">
        <v>12</v>
      </c>
    </row>
    <row r="31" spans="1:11" ht="15.75" x14ac:dyDescent="0.25">
      <c r="A31" s="2" t="s">
        <v>68</v>
      </c>
      <c r="B31" s="2" t="s">
        <v>9</v>
      </c>
      <c r="C31" s="2" t="s">
        <v>67</v>
      </c>
      <c r="D31" s="2" t="s">
        <v>66</v>
      </c>
      <c r="E31" s="2" t="s">
        <v>65</v>
      </c>
      <c r="F31" s="31">
        <v>51145</v>
      </c>
      <c r="G31" s="31">
        <v>10229</v>
      </c>
      <c r="H31" s="31">
        <v>3547</v>
      </c>
      <c r="I31" s="31">
        <v>2278</v>
      </c>
      <c r="J31" s="31">
        <f>F31+G31+H31-I31</f>
        <v>62643</v>
      </c>
      <c r="K31" s="2">
        <v>5</v>
      </c>
    </row>
  </sheetData>
  <conditionalFormatting sqref="J2:J31">
    <cfRule type="cellIs" dxfId="14" priority="1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CFAE-816A-4791-B936-186299282935}">
  <dimension ref="A1"/>
  <sheetViews>
    <sheetView workbookViewId="0">
      <selection activeCell="E30" sqref="E30"/>
    </sheetView>
  </sheetViews>
  <sheetFormatPr defaultRowHeight="15" x14ac:dyDescent="0.25"/>
  <cols>
    <col min="1" max="1" width="13.42578125" bestFit="1" customWidth="1"/>
    <col min="2" max="2" width="21.42578125" bestFit="1" customWidth="1"/>
    <col min="3" max="3" width="16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Maurya</dc:creator>
  <cp:lastModifiedBy>Khushi Maurya</cp:lastModifiedBy>
  <dcterms:created xsi:type="dcterms:W3CDTF">2026-09-17T03:54:04Z</dcterms:created>
  <dcterms:modified xsi:type="dcterms:W3CDTF">2026-09-17T04:51:33Z</dcterms:modified>
</cp:coreProperties>
</file>